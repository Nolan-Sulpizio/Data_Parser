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meppi-my.sharepoint.com/personal/daniel_harmon_meppi_com/Documents/"/>
    </mc:Choice>
  </mc:AlternateContent>
  <xr:revisionPtr revIDLastSave="69" documentId="8_{51079086-F9EB-41B7-BD18-D2BD7084ECF6}" xr6:coauthVersionLast="47" xr6:coauthVersionMax="47" xr10:uidLastSave="{C12B3B07-CCA4-45CF-AC2C-AA1D1B537089}"/>
  <bookViews>
    <workbookView xWindow="-120" yWindow="-120" windowWidth="29040" windowHeight="15720" xr2:uid="{5CD3DED7-6742-43A1-AC55-C833198103A5}"/>
  </bookViews>
  <sheets>
    <sheet name="Instructions" sheetId="2" r:id="rId1"/>
    <sheet name="Bidding Sheet"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G120" i="1"/>
  <c r="K120" i="1" s="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H8" i="1"/>
  <c r="K8" i="1" s="1"/>
  <c r="H7" i="1"/>
  <c r="K7" i="1" s="1"/>
  <c r="H6" i="1"/>
  <c r="K6" i="1" s="1"/>
  <c r="H5" i="1"/>
  <c r="I5" i="1" s="1"/>
  <c r="H4" i="1"/>
  <c r="K4" i="1" s="1"/>
  <c r="K3" i="1"/>
  <c r="H2" i="1"/>
  <c r="K2" i="1" s="1"/>
  <c r="I120" i="1" l="1"/>
  <c r="I8" i="1"/>
  <c r="I7" i="1"/>
  <c r="K5" i="1"/>
  <c r="K195" i="1" s="1"/>
  <c r="I4" i="1"/>
  <c r="I6" i="1"/>
  <c r="I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Adams, Alexander</author>
  </authors>
  <commentList>
    <comment ref="B83" authorId="0" shapeId="0" xr:uid="{DE10FAC3-71CF-4FF7-98B4-9515377C0767}">
      <text>
        <r>
          <rPr>
            <b/>
            <sz val="9"/>
            <color indexed="81"/>
            <rFont val="Tahoma"/>
            <charset val="1"/>
          </rPr>
          <t>Adams, Alexander:</t>
        </r>
        <r>
          <rPr>
            <sz val="9"/>
            <color indexed="81"/>
            <rFont val="Tahoma"/>
            <charset val="1"/>
          </rPr>
          <t xml:space="preserve">
replace these with socket drivers
</t>
        </r>
      </text>
    </comment>
    <comment ref="B91" authorId="0" shapeId="0" xr:uid="{FF19E40B-E8CB-48D9-9FF8-1440FB00C60F}">
      <text>
        <r>
          <rPr>
            <b/>
            <sz val="9"/>
            <color indexed="81"/>
            <rFont val="Tahoma"/>
            <charset val="1"/>
          </rPr>
          <t>Adams, Alexander:</t>
        </r>
        <r>
          <rPr>
            <sz val="9"/>
            <color indexed="81"/>
            <rFont val="Tahoma"/>
            <charset val="1"/>
          </rPr>
          <t xml:space="preserve">
ratcheting box end
</t>
        </r>
      </text>
    </comment>
    <comment ref="B101" authorId="0" shapeId="0" xr:uid="{E5A16D7E-B6A5-409A-B52F-88396EFFF09D}">
      <text>
        <r>
          <rPr>
            <b/>
            <sz val="9"/>
            <color indexed="81"/>
            <rFont val="Tahoma"/>
            <charset val="1"/>
          </rPr>
          <t>Adams, Alexander:</t>
        </r>
        <r>
          <rPr>
            <sz val="9"/>
            <color indexed="81"/>
            <rFont val="Tahoma"/>
            <charset val="1"/>
          </rPr>
          <t xml:space="preserve">
bushbutton release
</t>
        </r>
      </text>
    </comment>
    <comment ref="B106" authorId="0" shapeId="0" xr:uid="{35CC6AC8-082D-4064-8584-D04F461A65D0}">
      <text>
        <r>
          <rPr>
            <b/>
            <sz val="9"/>
            <color indexed="81"/>
            <rFont val="Tahoma"/>
            <charset val="1"/>
          </rPr>
          <t>Adams, Alexander:</t>
        </r>
        <r>
          <rPr>
            <sz val="9"/>
            <color indexed="81"/>
            <rFont val="Tahoma"/>
            <charset val="1"/>
          </rPr>
          <t xml:space="preserve">
Change to dead blow, no wood.</t>
        </r>
      </text>
    </comment>
    <comment ref="B114" authorId="0" shapeId="0" xr:uid="{B25F11AC-5EEF-4F91-B9C6-365DAD078B51}">
      <text>
        <r>
          <rPr>
            <b/>
            <sz val="9"/>
            <color indexed="81"/>
            <rFont val="Tahoma"/>
            <family val="2"/>
          </rPr>
          <t>Adams, Alexander:</t>
        </r>
        <r>
          <rPr>
            <sz val="9"/>
            <color indexed="81"/>
            <rFont val="Tahoma"/>
            <family val="2"/>
          </rPr>
          <t xml:space="preserve">
ball end </t>
        </r>
      </text>
    </comment>
    <comment ref="E117" authorId="0" shapeId="0" xr:uid="{6FC44EC0-E90C-49EE-90EE-2A0DEEC51EB6}">
      <text>
        <r>
          <rPr>
            <b/>
            <sz val="9"/>
            <color indexed="81"/>
            <rFont val="Tahoma"/>
            <charset val="1"/>
          </rPr>
          <t>Adams, Alexander:</t>
        </r>
        <r>
          <rPr>
            <sz val="9"/>
            <color indexed="81"/>
            <rFont val="Tahoma"/>
            <charset val="1"/>
          </rPr>
          <t xml:space="preserve">
Gesipa part number, not fastenal part number
</t>
        </r>
      </text>
    </comment>
  </commentList>
</comments>
</file>

<file path=xl/sharedStrings.xml><?xml version="1.0" encoding="utf-8"?>
<sst xmlns="http://schemas.openxmlformats.org/spreadsheetml/2006/main" count="993" uniqueCount="464">
  <si>
    <t>Category</t>
  </si>
  <si>
    <t>Tool</t>
  </si>
  <si>
    <t>Required Brand</t>
  </si>
  <si>
    <t>Quantity</t>
  </si>
  <si>
    <t>Spares</t>
  </si>
  <si>
    <t>Vendor Part Number</t>
  </si>
  <si>
    <t>Vendor</t>
  </si>
  <si>
    <t>Extended</t>
  </si>
  <si>
    <t>Notes</t>
  </si>
  <si>
    <t>Toolbox/Tool Board</t>
  </si>
  <si>
    <t>Zip tie guns</t>
  </si>
  <si>
    <t>298-10589-ND</t>
  </si>
  <si>
    <t>DigiKey</t>
  </si>
  <si>
    <t>One per toolbox</t>
  </si>
  <si>
    <t>Bit set</t>
  </si>
  <si>
    <t>431-76889-ND</t>
  </si>
  <si>
    <t>Digikey</t>
  </si>
  <si>
    <t>Stripping tool spare blade</t>
  </si>
  <si>
    <t>277-7661-ND</t>
  </si>
  <si>
    <t>1 per toolbox for 362 BIP and Ship prep, 1 for 72 kV</t>
  </si>
  <si>
    <t>Stripping tool</t>
  </si>
  <si>
    <t>277-5458-ND</t>
  </si>
  <si>
    <t>Cutter</t>
  </si>
  <si>
    <t>1691-1290-ND</t>
  </si>
  <si>
    <t>RTV Gun</t>
  </si>
  <si>
    <t>WBB173459</t>
  </si>
  <si>
    <t>Global Industrial</t>
  </si>
  <si>
    <t>Flashlights</t>
  </si>
  <si>
    <t>60UL75</t>
  </si>
  <si>
    <t>Grainger</t>
  </si>
  <si>
    <t>Drill</t>
  </si>
  <si>
    <t>393KX9</t>
  </si>
  <si>
    <t>Ship Prep Toolboxes and 1 for shipper</t>
  </si>
  <si>
    <t>Screw guns</t>
  </si>
  <si>
    <t>Milwaukee</t>
  </si>
  <si>
    <t>34G848</t>
  </si>
  <si>
    <t>2 per toolbox</t>
  </si>
  <si>
    <t>1/2" Drive Impact Guns</t>
  </si>
  <si>
    <t>Makita</t>
  </si>
  <si>
    <t>60JL92</t>
  </si>
  <si>
    <t>2 per toolbox and 1 for shipper</t>
  </si>
  <si>
    <t>3/4" Drive Impact Guns</t>
  </si>
  <si>
    <t>52YW96</t>
  </si>
  <si>
    <t>On shared toolboard between BIP/Pole unit cells</t>
  </si>
  <si>
    <t>61HJ62</t>
  </si>
  <si>
    <t>Additional for 72 kV Line to support BIP assembly</t>
  </si>
  <si>
    <t>Panduit cutters</t>
  </si>
  <si>
    <t>2ETW9</t>
  </si>
  <si>
    <t>Vernier Scale</t>
  </si>
  <si>
    <t>16X248</t>
  </si>
  <si>
    <t>1 per Bip toolbox</t>
  </si>
  <si>
    <t>Amp-clamp</t>
  </si>
  <si>
    <t>Fluke</t>
  </si>
  <si>
    <t>45MU56</t>
  </si>
  <si>
    <t>Feeler gauge</t>
  </si>
  <si>
    <t>16X227</t>
  </si>
  <si>
    <t>Wire stripper stopper</t>
  </si>
  <si>
    <t>25D129</t>
  </si>
  <si>
    <t>2 per BIP/Ship Prep cell</t>
  </si>
  <si>
    <t>Wire strippers</t>
  </si>
  <si>
    <t>5LJ02</t>
  </si>
  <si>
    <t>3 per BIP/Ship Prep cell</t>
  </si>
  <si>
    <t>Safety knife</t>
  </si>
  <si>
    <t>4MUW4</t>
  </si>
  <si>
    <t>Needle nose pliers</t>
  </si>
  <si>
    <t>57278392</t>
  </si>
  <si>
    <t>1 per toolbox</t>
  </si>
  <si>
    <t>Knife</t>
  </si>
  <si>
    <t>810VE1</t>
  </si>
  <si>
    <t>Hex key set</t>
  </si>
  <si>
    <t>40WZ29</t>
  </si>
  <si>
    <t>Inspection mirror</t>
  </si>
  <si>
    <t>35T122</t>
  </si>
  <si>
    <t>Bubble level</t>
  </si>
  <si>
    <t>4MRX2</t>
  </si>
  <si>
    <t>Lineman pliers</t>
  </si>
  <si>
    <t>3LY16</t>
  </si>
  <si>
    <t>46 mm crow foot</t>
  </si>
  <si>
    <t>Imperial-Newton</t>
  </si>
  <si>
    <t>CF-100-046M-02B</t>
  </si>
  <si>
    <t>1 per 245 shared toolboard</t>
  </si>
  <si>
    <t>Rivet guns</t>
  </si>
  <si>
    <t>97543A120</t>
  </si>
  <si>
    <t>McMaster-Carr</t>
  </si>
  <si>
    <t>1500 mm scales</t>
  </si>
  <si>
    <t>1971A46</t>
  </si>
  <si>
    <t>2 per Pole shared toolboard and 362 shared toolboard</t>
  </si>
  <si>
    <t>Pry bar/spud bar</t>
  </si>
  <si>
    <t>5457A17</t>
  </si>
  <si>
    <t>Pocket scale</t>
  </si>
  <si>
    <t>6813A62</t>
  </si>
  <si>
    <t>Phillips bit</t>
  </si>
  <si>
    <t>5751A42</t>
  </si>
  <si>
    <t>1/4" Socket Adapters for Screw Guns</t>
  </si>
  <si>
    <t>52735A23</t>
  </si>
  <si>
    <t>3/8" Socket Adapters for Screw Guns</t>
  </si>
  <si>
    <t>52735A45</t>
  </si>
  <si>
    <t>Center punch</t>
  </si>
  <si>
    <t>53780409</t>
  </si>
  <si>
    <t>MSC</t>
  </si>
  <si>
    <t>3/8" to 1/2" Adapter</t>
  </si>
  <si>
    <t>76962265</t>
  </si>
  <si>
    <t>Insulated crimpers</t>
  </si>
  <si>
    <t>59824-1</t>
  </si>
  <si>
    <t>Newton</t>
  </si>
  <si>
    <t>2 per BIP toolbox and 1 per ship prep toolbox</t>
  </si>
  <si>
    <t>Non insulated crimpers</t>
  </si>
  <si>
    <t>43395</t>
  </si>
  <si>
    <t>Conduit socket</t>
  </si>
  <si>
    <t>MA200014H01</t>
  </si>
  <si>
    <t>Small Parts Machine</t>
  </si>
  <si>
    <t>1 per shared toolboard for Pole/BIP</t>
  </si>
  <si>
    <t>Strapping tool</t>
  </si>
  <si>
    <t>H-348</t>
  </si>
  <si>
    <t>Uline</t>
  </si>
  <si>
    <t>Spray bottles</t>
  </si>
  <si>
    <t>S-7273</t>
  </si>
  <si>
    <t>Alcohol bottles</t>
  </si>
  <si>
    <t>69104</t>
  </si>
  <si>
    <t>United States Plastic Corp</t>
  </si>
  <si>
    <t>3 per toolbox</t>
  </si>
  <si>
    <t>60 kg-cm ratcheting torque wrench</t>
  </si>
  <si>
    <t>Tohnichi</t>
  </si>
  <si>
    <t>QL10N</t>
  </si>
  <si>
    <t>Gemini Products</t>
  </si>
  <si>
    <t>2 per shared toolboard</t>
  </si>
  <si>
    <t>140 kg-cm ratcheting torque wrench</t>
  </si>
  <si>
    <t>QL25N5</t>
  </si>
  <si>
    <t>280 kg-cm ratcheting torque wrench</t>
  </si>
  <si>
    <t>QL50N</t>
  </si>
  <si>
    <t>480 kg-cm ratcheting torque wrench</t>
  </si>
  <si>
    <t>QL100N4</t>
  </si>
  <si>
    <t>1200 kg-cm ratcheting torque wrench</t>
  </si>
  <si>
    <t>QL140N</t>
  </si>
  <si>
    <t>2200 kg-cm ratcheting torque wrench</t>
  </si>
  <si>
    <t>QL280N</t>
  </si>
  <si>
    <t>1 per shared toolboard for BIP/ship prep</t>
  </si>
  <si>
    <t>3900 kg-cm ratcheting torque wrench</t>
  </si>
  <si>
    <t>QL420N</t>
  </si>
  <si>
    <t>7700 kg-cm ratcheting torque wrench</t>
  </si>
  <si>
    <t>QLE1000N2</t>
  </si>
  <si>
    <t>13mm Head 140 kg-cm preset torque wrench</t>
  </si>
  <si>
    <t>CSP25N3X10D+SH10DX13</t>
  </si>
  <si>
    <t>17mm Head 280 kg-cm preset torque wrench</t>
  </si>
  <si>
    <t>CSP50N3X12D+SH12DX17</t>
  </si>
  <si>
    <t>19mm Head 480 kg-cm preset torque wrench</t>
  </si>
  <si>
    <t>CSP100N3X15D+SH15DX19</t>
  </si>
  <si>
    <t>24mm Head 1200 kg-cm preset torque wrench</t>
  </si>
  <si>
    <t>CSP140N3X15D+SH15DX24</t>
  </si>
  <si>
    <t>30mm Head 2200 kg-cm preset torque wrench</t>
  </si>
  <si>
    <t>CSP280N3X22D+SH22DX30</t>
  </si>
  <si>
    <t>1 per shared 145 BIP cells</t>
  </si>
  <si>
    <t>36mm Head 3900 kg-cm preset torque wrench</t>
  </si>
  <si>
    <t>CSP420N3X22D+SH22DX36</t>
  </si>
  <si>
    <t>46mm head 7700 kg-cm preset torque wrench</t>
  </si>
  <si>
    <t>CLE850N2X32D+SH32DX46</t>
  </si>
  <si>
    <t>1 per line (145/245/362)</t>
  </si>
  <si>
    <t>1-1/8" head 871 kg-cm torque wrench</t>
  </si>
  <si>
    <t>CSP100N3X15D+SH15DX1-1/8</t>
  </si>
  <si>
    <t>10 mm head 60 kg-cm torque wrench</t>
  </si>
  <si>
    <t>CSP12N4X8D+SH8DX10</t>
  </si>
  <si>
    <t>2 per shared toolboard for BIP/ship prep</t>
  </si>
  <si>
    <t>9/16" head 250 kg-cm torque wrench</t>
  </si>
  <si>
    <t>CSP50N3X12D+SH12DX9/16</t>
  </si>
  <si>
    <t>5/8" head 250 kg-cm torque wrench</t>
  </si>
  <si>
    <t>CSP50N3X12D+SH12DX5/8</t>
  </si>
  <si>
    <t>11/16" head 250 kg-cm torque wrench</t>
  </si>
  <si>
    <t>CSP50N3X12D+SH12DX11/16</t>
  </si>
  <si>
    <t>14 mm box end 1800 kg-cm torque wrench</t>
  </si>
  <si>
    <t>CSP200N3X19D</t>
  </si>
  <si>
    <t>1 per shared toolboard for 362 BIP</t>
  </si>
  <si>
    <t>600 kg-cm beam torque wrench</t>
  </si>
  <si>
    <t>F92N</t>
  </si>
  <si>
    <t>3200 kg-cm beam torque wrench</t>
  </si>
  <si>
    <t>F420N</t>
  </si>
  <si>
    <t>6mm Hex Impact Socket 1/4 Drive</t>
  </si>
  <si>
    <t>Koken</t>
  </si>
  <si>
    <t>12400M-6</t>
  </si>
  <si>
    <t>Keystone Assembly Solutions</t>
  </si>
  <si>
    <t>7mm Hex Impact Socket 1/4 Drive</t>
  </si>
  <si>
    <t>12400M-7</t>
  </si>
  <si>
    <t>8mm Hex Impact Socket 1/4 Drive</t>
  </si>
  <si>
    <t>12400M-8</t>
  </si>
  <si>
    <t>10mm Hex Impact Socket 1/4 Drive</t>
  </si>
  <si>
    <t>12400M-10</t>
  </si>
  <si>
    <t>10mm Hex Impact Socket 3/8 Drive</t>
  </si>
  <si>
    <t>13400M-10</t>
  </si>
  <si>
    <t>13mm Hex Impact Socket 1/4 Drive</t>
  </si>
  <si>
    <t>12400M-13</t>
  </si>
  <si>
    <t>13mm Hex Impact Socket 3/8 Drive</t>
  </si>
  <si>
    <t>13400M-13</t>
  </si>
  <si>
    <t>17mm Hex Impact Socket 3/8 Drive</t>
  </si>
  <si>
    <t>13400M-17</t>
  </si>
  <si>
    <t>17mm Hex Impact Socket 1/2 Drive</t>
  </si>
  <si>
    <t>14401M-17</t>
  </si>
  <si>
    <t>17mm Hex Impact Socket Deep 1/2 Drive</t>
  </si>
  <si>
    <t>14301M-17</t>
  </si>
  <si>
    <t>19mm Hex Impact Socket 1/2 Drive</t>
  </si>
  <si>
    <t>14401M-19</t>
  </si>
  <si>
    <t>19mm Hex Impact Socket Deep 1/2 Drive</t>
  </si>
  <si>
    <t>14301M-19</t>
  </si>
  <si>
    <t>24mm Hex Impact Socket 1/2 Drive</t>
  </si>
  <si>
    <t>14401M-24</t>
  </si>
  <si>
    <t>24mm Hex Impact Socket Deep 1/2 Drive</t>
  </si>
  <si>
    <t>14301M-24</t>
  </si>
  <si>
    <t>30mm Hex Impact Socket 3/4 Drive</t>
  </si>
  <si>
    <t>16400M-30</t>
  </si>
  <si>
    <t>36mm Hex Impact Socket 3/4 Drive</t>
  </si>
  <si>
    <t>16400M-36</t>
  </si>
  <si>
    <t>46mm Hex Impact Socket 3/4 Drive</t>
  </si>
  <si>
    <t>16400M-46</t>
  </si>
  <si>
    <t>1 per toolbox for 245/362 BIP cells</t>
  </si>
  <si>
    <t>Socket Driver</t>
  </si>
  <si>
    <t>Proto</t>
  </si>
  <si>
    <t>2150462</t>
  </si>
  <si>
    <t>Fastenal</t>
  </si>
  <si>
    <t>5mm Hex Impact Bit Socket</t>
  </si>
  <si>
    <t>Gearwrench</t>
  </si>
  <si>
    <t>0251288</t>
  </si>
  <si>
    <t>6mm Hex Impact Bit Socket</t>
  </si>
  <si>
    <t>0251289</t>
  </si>
  <si>
    <t>8mm Hex Impact Bit Socket</t>
  </si>
  <si>
    <t>0251291</t>
  </si>
  <si>
    <t>10mm Hex Impact Bit Socket</t>
  </si>
  <si>
    <t>0251292</t>
  </si>
  <si>
    <t>14mm Hex Impact Bit Socket</t>
  </si>
  <si>
    <t>0251306</t>
  </si>
  <si>
    <t>17mm Hex Impact Bit Socket</t>
  </si>
  <si>
    <t>99516242</t>
  </si>
  <si>
    <t>19mm Hex Impact Bit Socket</t>
  </si>
  <si>
    <t>0255401</t>
  </si>
  <si>
    <t xml:space="preserve">6mm Open End Wrench </t>
  </si>
  <si>
    <t>923552648</t>
  </si>
  <si>
    <t>7mm Open End Wrench</t>
  </si>
  <si>
    <t>923552499</t>
  </si>
  <si>
    <t>8mm Open End Wrench</t>
  </si>
  <si>
    <t>923551927</t>
  </si>
  <si>
    <t>10mm Open End Wrench</t>
  </si>
  <si>
    <t>923555397</t>
  </si>
  <si>
    <t>13mm Open End Wrench</t>
  </si>
  <si>
    <t>923554327</t>
  </si>
  <si>
    <t>17mm Open End Wrench</t>
  </si>
  <si>
    <t>923552384</t>
  </si>
  <si>
    <t>19mm Open End Wrench</t>
  </si>
  <si>
    <t>923551790</t>
  </si>
  <si>
    <t>24mm Open End Wrench</t>
  </si>
  <si>
    <t>923553987</t>
  </si>
  <si>
    <t>30mm Open End Wrench</t>
  </si>
  <si>
    <t>923552466</t>
  </si>
  <si>
    <t>36mm Open End Wrench</t>
  </si>
  <si>
    <t>923551278</t>
  </si>
  <si>
    <t>1/4" Drive Ratchet</t>
  </si>
  <si>
    <t>2150437</t>
  </si>
  <si>
    <t xml:space="preserve">3/8" Drive Ratchet </t>
  </si>
  <si>
    <t>99516163</t>
  </si>
  <si>
    <t>1/2" Drive Ratchet</t>
  </si>
  <si>
    <t>2150523</t>
  </si>
  <si>
    <t>18" Crescent Wrench</t>
  </si>
  <si>
    <t>0228762</t>
  </si>
  <si>
    <t>362 kv shared toolboard</t>
  </si>
  <si>
    <t>Snap ring pliers</t>
  </si>
  <si>
    <t>0258776</t>
  </si>
  <si>
    <t>Mallet</t>
  </si>
  <si>
    <t>0258794</t>
  </si>
  <si>
    <t>Channel Locks</t>
  </si>
  <si>
    <t>Channel Lock</t>
  </si>
  <si>
    <t>Wire cutters</t>
  </si>
  <si>
    <t>0255555</t>
  </si>
  <si>
    <t>Klein Screwdriver Kit</t>
  </si>
  <si>
    <t>Klein</t>
  </si>
  <si>
    <t>0297986</t>
  </si>
  <si>
    <t>Ball-peen hammer</t>
  </si>
  <si>
    <t>0225249</t>
  </si>
  <si>
    <t>Tape measure</t>
  </si>
  <si>
    <t>0209718</t>
  </si>
  <si>
    <t>3" Impact socket extension 1/2" drive</t>
  </si>
  <si>
    <t>0223609</t>
  </si>
  <si>
    <t>5" impact socket extension 1/2" drive</t>
  </si>
  <si>
    <t>0223610</t>
  </si>
  <si>
    <t>15" socket extension 1/2" drive</t>
  </si>
  <si>
    <t>0257932</t>
  </si>
  <si>
    <t>4" crescent wrench</t>
  </si>
  <si>
    <t>Crescent</t>
  </si>
  <si>
    <t>0228765</t>
  </si>
  <si>
    <t>6" crescent wrench</t>
  </si>
  <si>
    <t>0243851</t>
  </si>
  <si>
    <t>Gesipa Accubird Pro Kit (2 batteries + 1 charger)</t>
  </si>
  <si>
    <t>Gesipa</t>
  </si>
  <si>
    <t>1679662</t>
  </si>
  <si>
    <t>Workcell</t>
  </si>
  <si>
    <t>Trash Can (grey, 40 gal square)</t>
  </si>
  <si>
    <t>H-3493GR</t>
  </si>
  <si>
    <t>2 per Pole cell, 1 per BIP cell, 3 in ship prep</t>
  </si>
  <si>
    <t>Trash Can Dolly (square)</t>
  </si>
  <si>
    <t>H-3498</t>
  </si>
  <si>
    <t>One per trash can</t>
  </si>
  <si>
    <t>Recycle Can (blue, 44 gal round)</t>
  </si>
  <si>
    <t>H-1046BLU</t>
  </si>
  <si>
    <t>Scrap Can (white, 44 gal round)</t>
  </si>
  <si>
    <t>H-1046W</t>
  </si>
  <si>
    <t>Trash Can Dolly (round)</t>
  </si>
  <si>
    <t>H-7928</t>
  </si>
  <si>
    <t>Recycling Rolling Container (Blue)</t>
  </si>
  <si>
    <t>H-1956BLU</t>
  </si>
  <si>
    <t>30 x 60 Table</t>
  </si>
  <si>
    <t>H-11756-MAP</t>
  </si>
  <si>
    <t>1 per cell for 72-362 BIP cells, 5 in ship prep</t>
  </si>
  <si>
    <t>Mobile Peg Board Cart</t>
  </si>
  <si>
    <t>AFPB2S2448-TL60</t>
  </si>
  <si>
    <t>Pegboard 2-3/4" Curved Hook (10 pack)</t>
  </si>
  <si>
    <t>18515A118</t>
  </si>
  <si>
    <t>McMastercarr</t>
  </si>
  <si>
    <t>Triton Products Durahook</t>
  </si>
  <si>
    <t>Pegboard 4-1/8" Curved Hook (10 pack)</t>
  </si>
  <si>
    <t>18515A119</t>
  </si>
  <si>
    <t>Pegboard 3-1/4" Double Rod (10 pack)</t>
  </si>
  <si>
    <t>18515A144</t>
  </si>
  <si>
    <t>Pegboard Spring Clips 1/4" - 1/2" (10 pack)</t>
  </si>
  <si>
    <t>18515A137</t>
  </si>
  <si>
    <t>Pegboard Spring Clips 3/4" - 1-1/4" (10 pack)</t>
  </si>
  <si>
    <t>18515A136</t>
  </si>
  <si>
    <t>Pegboard 2" Curved Rod (10 pack)</t>
  </si>
  <si>
    <t>18515A151</t>
  </si>
  <si>
    <t>Pegboard 3" Curved Rod (10 pack)</t>
  </si>
  <si>
    <t>18515A111</t>
  </si>
  <si>
    <t>Pegboard 4-5/8" Curved Rod (10 pack)</t>
  </si>
  <si>
    <t>18515A112</t>
  </si>
  <si>
    <t>Pegboard 1-1/2" Single Bed Hook (10 pack)</t>
  </si>
  <si>
    <t>18515A122</t>
  </si>
  <si>
    <t>Pegboard Double Closed Loop End Hook (5 pack)</t>
  </si>
  <si>
    <t>18515A141</t>
  </si>
  <si>
    <t>Gravity Fed Part Rack</t>
  </si>
  <si>
    <t>H-3896BLU</t>
  </si>
  <si>
    <t>H-3896BL</t>
  </si>
  <si>
    <t>Rolling Ladders</t>
  </si>
  <si>
    <t>11452174</t>
  </si>
  <si>
    <t>Step Ladders</t>
  </si>
  <si>
    <t>236513</t>
  </si>
  <si>
    <t>Type 1A or 1AA</t>
  </si>
  <si>
    <t>Work Platform: 14 in Platform Ht</t>
  </si>
  <si>
    <t>22P005</t>
  </si>
  <si>
    <t>Rubbermaid Carts</t>
  </si>
  <si>
    <t>2ZB54</t>
  </si>
  <si>
    <t>Dixon Cam-Lock Fitting 1" Plug x 1" FNPT</t>
  </si>
  <si>
    <t>G100-A-SS</t>
  </si>
  <si>
    <t>7 Drawer Mobile Toolbox</t>
  </si>
  <si>
    <t>0220017</t>
  </si>
  <si>
    <t>6' sling</t>
  </si>
  <si>
    <t>38U642</t>
  </si>
  <si>
    <t>6' Sling thick</t>
  </si>
  <si>
    <t>48GA63</t>
  </si>
  <si>
    <t>8' sling</t>
  </si>
  <si>
    <t>38U644</t>
  </si>
  <si>
    <t>8' sling thick</t>
  </si>
  <si>
    <t>48GA64</t>
  </si>
  <si>
    <t>10' sling</t>
  </si>
  <si>
    <t>38U627</t>
  </si>
  <si>
    <t>10' sling thick</t>
  </si>
  <si>
    <t>48GA65</t>
  </si>
  <si>
    <t>12' sling</t>
  </si>
  <si>
    <t>38U629</t>
  </si>
  <si>
    <t>12' sling thick</t>
  </si>
  <si>
    <t>48GA66</t>
  </si>
  <si>
    <t>20' strap thick</t>
  </si>
  <si>
    <t>48GA84</t>
  </si>
  <si>
    <t>Clevice, 19000 lb, 1-13/16" Eye Width, 1-1/4" Pin</t>
  </si>
  <si>
    <t>29WP51</t>
  </si>
  <si>
    <t>Clevice, 9500 lb, 1-1/4" Eye Width, 7/8" Pin</t>
  </si>
  <si>
    <t>29WP48</t>
  </si>
  <si>
    <t>Clevice, 3000 lb, 3/4" Eye Width, 1/2" Pin</t>
  </si>
  <si>
    <t>29WP45</t>
  </si>
  <si>
    <t>Bearing Press</t>
  </si>
  <si>
    <t>808GW7</t>
  </si>
  <si>
    <t>Chairs</t>
  </si>
  <si>
    <t>Model 101</t>
  </si>
  <si>
    <t>Eidos</t>
  </si>
  <si>
    <t>20A 120VAC Extension Cords</t>
  </si>
  <si>
    <t>0713132</t>
  </si>
  <si>
    <t>Bar Clamp set</t>
  </si>
  <si>
    <t>50516129</t>
  </si>
  <si>
    <t>C Clamp</t>
  </si>
  <si>
    <t>09138512</t>
  </si>
  <si>
    <t>2" x 100' Red Floor Tape</t>
  </si>
  <si>
    <t>2RR</t>
  </si>
  <si>
    <t>Cranston Material</t>
  </si>
  <si>
    <t>3" x 100' Yellow Floor Tape</t>
  </si>
  <si>
    <t>3RY</t>
  </si>
  <si>
    <t>Mighty Line Solid Purple Angle 6" x 6" x 2"</t>
  </si>
  <si>
    <t>HANGLEP</t>
  </si>
  <si>
    <t>Mighty Line Solid White Angle 6" x 6" x 2"</t>
  </si>
  <si>
    <t>HANGLEW</t>
  </si>
  <si>
    <t>Mighty Line Solid Blue Angle 6" x 6" x 2"</t>
  </si>
  <si>
    <t>HANGLEB</t>
  </si>
  <si>
    <t>Mighty Line Solid Black Angle 6" x 6" x 2"</t>
  </si>
  <si>
    <t>HANGLEBLK</t>
  </si>
  <si>
    <t>Mighty Line Solid Green Angle 6" x 6" x 2"</t>
  </si>
  <si>
    <t>HANGLEG</t>
  </si>
  <si>
    <t>Mighty Line Solid Orange Angle 6" x 6" x 2"</t>
  </si>
  <si>
    <t>HANGLEO</t>
  </si>
  <si>
    <t>Toolbox Foam</t>
  </si>
  <si>
    <t>FDL1622BL8</t>
  </si>
  <si>
    <t>Creative Supply Inc</t>
  </si>
  <si>
    <t>Ear Muffs</t>
  </si>
  <si>
    <t>95460515</t>
  </si>
  <si>
    <t>2000 Series Safety Glasses</t>
  </si>
  <si>
    <t>920375399</t>
  </si>
  <si>
    <t>Tacky floor mat, 36"x36" sheet, Blue, 4 pack</t>
  </si>
  <si>
    <t>6GRC4</t>
  </si>
  <si>
    <t>Tacky floor mat, 36"x60" sheet, Blue, 4 pack</t>
  </si>
  <si>
    <t>31AN22</t>
  </si>
  <si>
    <t>Hyflex Coated Gloves M (8)</t>
  </si>
  <si>
    <t>5AJ28</t>
  </si>
  <si>
    <t>Must order 12 at a time</t>
  </si>
  <si>
    <t>Hyflex Coated Gloves L (9)</t>
  </si>
  <si>
    <t>5AJ29</t>
  </si>
  <si>
    <t>Hyflex Coated Gloves XL (10)</t>
  </si>
  <si>
    <t>5AJ30</t>
  </si>
  <si>
    <t>Milwaukee Cold Weather Gloves L</t>
  </si>
  <si>
    <t>48-22-8912</t>
  </si>
  <si>
    <t>Home Depot</t>
  </si>
  <si>
    <t>Milwaukee Cold Weather Gloves XL</t>
  </si>
  <si>
    <t>48-22-8913</t>
  </si>
  <si>
    <t>Rousseau 12 Drawer Cabinet Gray R5PHE-5824KD-71</t>
  </si>
  <si>
    <t>WB237251GY</t>
  </si>
  <si>
    <t>Rousseau 3" Divider Kit R00HE-A031603</t>
  </si>
  <si>
    <t>WB237271C</t>
  </si>
  <si>
    <t>Rousseau 4" Divider Kit R00HE-A031604</t>
  </si>
  <si>
    <t>WB237272C</t>
  </si>
  <si>
    <t>Rousseau 6" Divider Kit R00HE-A030406</t>
  </si>
  <si>
    <t>WB237256C</t>
  </si>
  <si>
    <t>Rousseau 10" Divider Kit R00HE-A030410</t>
  </si>
  <si>
    <t>WB237258C</t>
  </si>
  <si>
    <t>Rousseau PVC Drawer Liner for 48"Wx24"D RG40-4824-01</t>
  </si>
  <si>
    <t>Wilton Tradesman 1765 Vise, WL9-28807</t>
  </si>
  <si>
    <t>Wilton Vise Stand, WL9-63185</t>
  </si>
  <si>
    <t>Safety</t>
  </si>
  <si>
    <t>Vest Harness, S/M, AC-QC/S/MGN</t>
  </si>
  <si>
    <t>45J026</t>
  </si>
  <si>
    <t>Vest Harness, L/XL, AC-QC/UGN</t>
  </si>
  <si>
    <t>45J027</t>
  </si>
  <si>
    <t>Vest Harness, 2XL/3XL, AC-QC2/3XLGN</t>
  </si>
  <si>
    <t>45J028</t>
  </si>
  <si>
    <t>Self Retracting Lifeline, MTL-OHS1-31/9FT</t>
  </si>
  <si>
    <t>824MH2</t>
  </si>
  <si>
    <t>Waste Drum (oil, aerosol cans)</t>
  </si>
  <si>
    <t>3369</t>
  </si>
  <si>
    <t>Safety Kleen</t>
  </si>
  <si>
    <t>Single Drum Cabinet "Self Closing Doors"</t>
  </si>
  <si>
    <t>H-3685S</t>
  </si>
  <si>
    <t>Spill Kit, KIT241-WH</t>
  </si>
  <si>
    <t>30RD43</t>
  </si>
  <si>
    <t>Total Quantity</t>
  </si>
  <si>
    <t>Unit Price</t>
  </si>
  <si>
    <t>Alternative MFG</t>
  </si>
  <si>
    <t>Alternative MFG P/N</t>
  </si>
  <si>
    <t>Bidder Part Number</t>
  </si>
  <si>
    <t>Exact Match (Y/N)</t>
  </si>
  <si>
    <t>Local Stock</t>
  </si>
  <si>
    <t>Total Cost of Goods</t>
  </si>
  <si>
    <r>
      <t xml:space="preserve">1. Participaing Bidders should utilize this bidding template to formulate their quote for the Switchgear facility tooling Project.
2. Participants will input data into the applicable colored fields based on the provided information for each line item.
3. The Vendor and Vendor Part Numbers provided indicate the preferred parts and should be quoted where possible.  
4. Participants should fill in a unit price along with their part number and indicate if the item quoted is an exact match  for the  line item identified by the Vendor and Vendor part numbers provided using the </t>
    </r>
    <r>
      <rPr>
        <b/>
        <sz val="11"/>
        <rFont val="Aptos Narrow"/>
        <family val="2"/>
        <scheme val="minor"/>
      </rPr>
      <t>YELLOW</t>
    </r>
    <r>
      <rPr>
        <sz val="11"/>
        <color theme="1"/>
        <rFont val="Aptos Narrow"/>
        <family val="2"/>
        <scheme val="minor"/>
      </rPr>
      <t xml:space="preserve"> boxes.
5. If the provider is unable to quote the listed items and are forced to offer an alternative option, they must indicate the Manufacture and Part Number of the items they are quoting in the light </t>
    </r>
    <r>
      <rPr>
        <b/>
        <sz val="11"/>
        <rFont val="Aptos Narrow"/>
        <family val="2"/>
        <scheme val="minor"/>
      </rPr>
      <t>BLUE</t>
    </r>
    <r>
      <rPr>
        <sz val="11"/>
        <rFont val="Aptos Narrow"/>
        <family val="2"/>
        <scheme val="minor"/>
      </rPr>
      <t xml:space="preserve"> </t>
    </r>
    <r>
      <rPr>
        <sz val="11"/>
        <color theme="1"/>
        <rFont val="Aptos Narrow"/>
        <family val="2"/>
        <scheme val="minor"/>
      </rPr>
      <t xml:space="preserve">area for each line item. </t>
    </r>
    <r>
      <rPr>
        <sz val="11"/>
        <rFont val="Aptos Narrow"/>
        <family val="2"/>
        <scheme val="minor"/>
      </rPr>
      <t xml:space="preserve">
6. Participants must indicate where the line items are stored and will ship from using the </t>
    </r>
    <r>
      <rPr>
        <b/>
        <sz val="11"/>
        <rFont val="Aptos Narrow"/>
        <family val="2"/>
        <scheme val="minor"/>
      </rPr>
      <t>GREEN</t>
    </r>
    <r>
      <rPr>
        <sz val="11"/>
        <rFont val="Aptos Narrow"/>
        <family val="2"/>
        <scheme val="minor"/>
      </rPr>
      <t xml:space="preserve"> </t>
    </r>
    <r>
      <rPr>
        <sz val="11"/>
        <color theme="1"/>
        <rFont val="Aptos Narrow"/>
        <family val="2"/>
        <scheme val="minor"/>
      </rPr>
      <t xml:space="preserve">boxes provided.
</t>
    </r>
    <r>
      <rPr>
        <b/>
        <sz val="11"/>
        <color theme="1"/>
        <rFont val="Aptos Narrow"/>
        <family val="2"/>
        <scheme val="minor"/>
      </rPr>
      <t xml:space="preserve">7. The total quantity item indicates the expected number of units to be ordered as part of the startup. This number may change with final PO. In order to preserve the integrity of the quotes, the unit pricing submited MUST remain in place for the initial order and subsequent orders for the next 12 months. 
</t>
    </r>
    <r>
      <rPr>
        <sz val="11"/>
        <color theme="1"/>
        <rFont val="Aptos Narrow"/>
        <family val="2"/>
        <scheme val="minor"/>
      </rPr>
      <t xml:space="preserve">8. Upon final submission of pricing, this document must be uploaded to the Market Dojo tool no later than 24 hours after the completion of the competitive bid. Failure to submit the completed template will result in disqualificaion of the bidding process. </t>
    </r>
  </si>
  <si>
    <t>Yes</t>
  </si>
  <si>
    <t>No</t>
  </si>
  <si>
    <t>Lead Time (Days)</t>
  </si>
  <si>
    <t>Stock Location (City,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</si>
</sst>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2" x14ac:knownFonts="1">
    <font>
      <sz val="11"/>
      <color theme="1"/>
      <name val="Aptos Narrow"/>
      <family val="2"/>
      <scheme val="minor"/>
    </font>
    <font>
      <b/>
      <sz val="11"/>
      <color theme="1"/>
      <name val="Aptos Narrow"/>
      <family val="2"/>
      <scheme val="minor"/>
    </font>
    <font>
      <sz val="9"/>
      <color rgb="FF333333"/>
      <name val="Arial"/>
    </font>
    <font>
      <sz val="10"/>
      <color rgb="FF000000"/>
      <name val="Arial"/>
      <family val="2"/>
    </font>
    <font>
      <sz val="11"/>
      <color rgb="FF424C5B"/>
      <name val="Arial"/>
      <family val="2"/>
    </font>
    <font>
      <sz val="11"/>
      <color rgb="FFFF0000"/>
      <name val="Arial"/>
      <family val="2"/>
    </font>
    <font>
      <b/>
      <sz val="9"/>
      <color indexed="81"/>
      <name val="Tahoma"/>
      <charset val="1"/>
    </font>
    <font>
      <sz val="9"/>
      <color indexed="81"/>
      <name val="Tahoma"/>
      <charset val="1"/>
    </font>
    <font>
      <b/>
      <sz val="9"/>
      <color indexed="81"/>
      <name val="Tahoma"/>
      <family val="2"/>
    </font>
    <font>
      <sz val="9"/>
      <color indexed="81"/>
      <name val="Tahoma"/>
      <family val="2"/>
    </font>
    <font>
      <b/>
      <sz val="11"/>
      <name val="Aptos Narrow"/>
      <family val="2"/>
      <scheme val="minor"/>
    </font>
    <font>
      <sz val="11"/>
      <name val="Aptos Narrow"/>
      <family val="2"/>
      <scheme val="minor"/>
    </font>
  </fonts>
  <fills count="5">
    <fill>
      <patternFill patternType="none"/>
    </fill>
    <fill>
      <patternFill patternType="gray125"/>
    </fill>
    <fill>
      <patternFill patternType="solid">
        <fgColor rgb="FFFFFFCC"/>
        <bgColor indexed="64"/>
      </patternFill>
    </fill>
    <fill>
      <patternFill patternType="solid">
        <fgColor rgb="FFCCECFF"/>
        <bgColor indexed="64"/>
      </patternFill>
    </fill>
    <fill>
      <patternFill patternType="solid">
        <fgColor theme="9" tint="0.79998168889431442"/>
        <bgColor indexed="64"/>
      </patternFill>
    </fill>
  </fills>
  <borders count="2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s>
  <cellStyleXfs count="1">
    <xf numFmtId="0" fontId="0" fillId="0" borderId="0"/>
  </cellStyleXfs>
  <cellXfs count="75">
    <xf numFmtId="0" fontId="0" fillId="0" borderId="0" xfId="0"/>
    <xf numFmtId="0" fontId="0" fillId="0" borderId="0" xfId="0" applyFill="1"/>
    <xf numFmtId="0" fontId="0" fillId="0" borderId="0" xfId="0" applyFill="1" applyAlignment="1">
      <alignment horizontal="center"/>
    </xf>
    <xf numFmtId="0" fontId="0" fillId="0" borderId="0" xfId="0" applyAlignment="1">
      <alignment horizontal="center"/>
    </xf>
    <xf numFmtId="0" fontId="0" fillId="0" borderId="0" xfId="0" applyFill="1" applyBorder="1" applyAlignment="1">
      <alignment horizontal="center"/>
    </xf>
    <xf numFmtId="0" fontId="0" fillId="0" borderId="2" xfId="0" applyFill="1" applyBorder="1" applyAlignment="1">
      <alignment horizontal="center"/>
    </xf>
    <xf numFmtId="0" fontId="0" fillId="2" borderId="4" xfId="0" applyFill="1" applyBorder="1"/>
    <xf numFmtId="0" fontId="0" fillId="2" borderId="6" xfId="0" applyFill="1" applyBorder="1"/>
    <xf numFmtId="0" fontId="0" fillId="2" borderId="9" xfId="0" applyFill="1" applyBorder="1"/>
    <xf numFmtId="0" fontId="0" fillId="2" borderId="10" xfId="0" applyFill="1" applyBorder="1"/>
    <xf numFmtId="0" fontId="0" fillId="3" borderId="9" xfId="0" applyFill="1" applyBorder="1"/>
    <xf numFmtId="0" fontId="0" fillId="3" borderId="10" xfId="0" applyFill="1" applyBorder="1"/>
    <xf numFmtId="0" fontId="1" fillId="0" borderId="0" xfId="0" applyFont="1" applyFill="1" applyBorder="1" applyAlignment="1">
      <alignment horizontal="center"/>
    </xf>
    <xf numFmtId="164" fontId="0" fillId="2" borderId="11" xfId="0" applyNumberFormat="1" applyFill="1" applyBorder="1"/>
    <xf numFmtId="164" fontId="0" fillId="2" borderId="12" xfId="0" applyNumberFormat="1" applyFill="1" applyBorder="1"/>
    <xf numFmtId="0" fontId="0" fillId="2" borderId="12" xfId="0" applyFill="1" applyBorder="1"/>
    <xf numFmtId="164" fontId="0" fillId="2" borderId="13" xfId="0" applyNumberFormat="1" applyFill="1" applyBorder="1"/>
    <xf numFmtId="0" fontId="1" fillId="0" borderId="15" xfId="0" applyFont="1" applyBorder="1"/>
    <xf numFmtId="0" fontId="0" fillId="3" borderId="0" xfId="0" applyFill="1" applyBorder="1"/>
    <xf numFmtId="0" fontId="0" fillId="3" borderId="17" xfId="0" applyFill="1" applyBorder="1"/>
    <xf numFmtId="0" fontId="0" fillId="0" borderId="0" xfId="0" applyBorder="1"/>
    <xf numFmtId="0" fontId="0" fillId="0" borderId="1" xfId="0" applyBorder="1"/>
    <xf numFmtId="0" fontId="0" fillId="0" borderId="20"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17" xfId="0" applyBorder="1"/>
    <xf numFmtId="0" fontId="0" fillId="0" borderId="6" xfId="0" applyBorder="1"/>
    <xf numFmtId="0" fontId="0" fillId="4" borderId="1" xfId="0" applyFill="1" applyBorder="1"/>
    <xf numFmtId="0" fontId="0" fillId="4" borderId="18" xfId="0" applyFill="1" applyBorder="1"/>
    <xf numFmtId="0" fontId="0" fillId="4" borderId="2" xfId="0" applyFill="1" applyBorder="1"/>
    <xf numFmtId="0" fontId="0" fillId="4" borderId="3" xfId="0" applyFill="1" applyBorder="1"/>
    <xf numFmtId="0" fontId="0" fillId="4" borderId="21" xfId="0" applyFill="1" applyBorder="1"/>
    <xf numFmtId="0" fontId="0" fillId="4" borderId="4" xfId="0" applyFill="1" applyBorder="1"/>
    <xf numFmtId="0" fontId="0" fillId="4" borderId="5" xfId="0" applyFill="1" applyBorder="1"/>
    <xf numFmtId="0" fontId="0" fillId="4" borderId="22" xfId="0" applyFill="1" applyBorder="1"/>
    <xf numFmtId="0" fontId="0" fillId="4" borderId="6" xfId="0" applyFill="1" applyBorder="1"/>
    <xf numFmtId="0" fontId="1" fillId="0" borderId="20" xfId="0" applyFont="1" applyFill="1" applyBorder="1" applyAlignment="1">
      <alignment horizontal="center"/>
    </xf>
    <xf numFmtId="0" fontId="0" fillId="0" borderId="20" xfId="0" applyFill="1" applyBorder="1" applyAlignment="1">
      <alignment horizontal="center"/>
    </xf>
    <xf numFmtId="49" fontId="0" fillId="0" borderId="20" xfId="0" applyNumberFormat="1" applyFill="1" applyBorder="1"/>
    <xf numFmtId="164" fontId="0" fillId="0" borderId="2" xfId="0" applyNumberFormat="1" applyFill="1" applyBorder="1"/>
    <xf numFmtId="49" fontId="0" fillId="0" borderId="0" xfId="0" applyNumberFormat="1" applyFill="1" applyBorder="1"/>
    <xf numFmtId="164" fontId="0" fillId="0" borderId="4" xfId="0" applyNumberFormat="1" applyFill="1" applyBorder="1"/>
    <xf numFmtId="49" fontId="0" fillId="0" borderId="0" xfId="0" applyNumberFormat="1" applyFill="1" applyBorder="1" applyAlignment="1">
      <alignment wrapText="1"/>
    </xf>
    <xf numFmtId="0" fontId="2" fillId="0" borderId="0" xfId="0" applyFont="1" applyFill="1" applyBorder="1"/>
    <xf numFmtId="0" fontId="3" fillId="0" borderId="0" xfId="0" applyFont="1" applyFill="1" applyBorder="1"/>
    <xf numFmtId="0" fontId="4" fillId="0" borderId="0" xfId="0" applyFont="1" applyFill="1" applyBorder="1" applyAlignment="1">
      <alignment vertical="center" wrapText="1"/>
    </xf>
    <xf numFmtId="0" fontId="4" fillId="0" borderId="0" xfId="0" applyFont="1" applyFill="1" applyBorder="1"/>
    <xf numFmtId="0" fontId="5" fillId="0" borderId="0" xfId="0" applyFont="1" applyFill="1" applyBorder="1" applyAlignment="1">
      <alignment vertical="center" wrapText="1"/>
    </xf>
    <xf numFmtId="0" fontId="0" fillId="0" borderId="17" xfId="0" applyFill="1" applyBorder="1" applyAlignment="1">
      <alignment horizontal="center"/>
    </xf>
    <xf numFmtId="49" fontId="0" fillId="0" borderId="17" xfId="0" applyNumberFormat="1" applyFill="1" applyBorder="1"/>
    <xf numFmtId="0" fontId="1" fillId="0" borderId="17" xfId="0" applyFont="1" applyFill="1" applyBorder="1" applyAlignment="1">
      <alignment horizontal="center"/>
    </xf>
    <xf numFmtId="164" fontId="0" fillId="0" borderId="6" xfId="0" applyNumberFormat="1" applyFill="1" applyBorder="1"/>
    <xf numFmtId="0" fontId="1" fillId="0" borderId="14" xfId="0" applyFont="1" applyBorder="1"/>
    <xf numFmtId="0" fontId="0" fillId="0" borderId="4" xfId="0" applyFill="1" applyBorder="1" applyAlignment="1">
      <alignment horizontal="center"/>
    </xf>
    <xf numFmtId="0" fontId="0" fillId="0" borderId="6" xfId="0" applyFill="1" applyBorder="1" applyAlignment="1">
      <alignment horizontal="center"/>
    </xf>
    <xf numFmtId="0" fontId="1" fillId="0" borderId="15" xfId="0" applyFont="1" applyBorder="1" applyAlignment="1">
      <alignment horizontal="center"/>
    </xf>
    <xf numFmtId="164" fontId="1" fillId="0" borderId="16" xfId="0" applyNumberFormat="1" applyFont="1" applyFill="1" applyBorder="1"/>
    <xf numFmtId="0" fontId="0" fillId="0" borderId="0" xfId="0" applyAlignment="1">
      <alignment horizontal="left" vertical="top"/>
    </xf>
    <xf numFmtId="0" fontId="0" fillId="0" borderId="0" xfId="0" applyAlignment="1">
      <alignment horizontal="left" vertical="top" wrapText="1"/>
    </xf>
    <xf numFmtId="0" fontId="1" fillId="0" borderId="14" xfId="0" applyFont="1" applyBorder="1" applyAlignment="1">
      <alignment wrapText="1"/>
    </xf>
    <xf numFmtId="0" fontId="1" fillId="0" borderId="15" xfId="0" applyFont="1" applyBorder="1" applyAlignment="1">
      <alignment wrapText="1"/>
    </xf>
    <xf numFmtId="0" fontId="1" fillId="0" borderId="16" xfId="0" applyFont="1" applyFill="1" applyBorder="1" applyAlignment="1">
      <alignment horizontal="center" wrapText="1"/>
    </xf>
    <xf numFmtId="49" fontId="1" fillId="0" borderId="15" xfId="0" applyNumberFormat="1" applyFont="1" applyFill="1" applyBorder="1" applyAlignment="1">
      <alignment wrapText="1"/>
    </xf>
    <xf numFmtId="0" fontId="1" fillId="0" borderId="16" xfId="0" applyFont="1" applyBorder="1" applyAlignment="1">
      <alignment wrapText="1"/>
    </xf>
    <xf numFmtId="0" fontId="1" fillId="0" borderId="20" xfId="0" applyFont="1" applyFill="1" applyBorder="1" applyAlignment="1">
      <alignment horizontal="center" wrapText="1"/>
    </xf>
    <xf numFmtId="164" fontId="1" fillId="0" borderId="11" xfId="0" applyNumberFormat="1" applyFont="1" applyFill="1" applyBorder="1" applyAlignment="1">
      <alignment wrapText="1"/>
    </xf>
    <xf numFmtId="0" fontId="1" fillId="0" borderId="11" xfId="0" applyFont="1" applyFill="1" applyBorder="1" applyAlignment="1">
      <alignment wrapText="1"/>
    </xf>
    <xf numFmtId="0" fontId="1" fillId="0" borderId="7" xfId="0" applyFont="1" applyFill="1" applyBorder="1" applyAlignment="1">
      <alignment horizontal="center" wrapText="1"/>
    </xf>
    <xf numFmtId="0" fontId="1" fillId="0" borderId="15" xfId="0" applyFont="1" applyFill="1" applyBorder="1" applyAlignment="1">
      <alignment horizontal="center" wrapText="1"/>
    </xf>
    <xf numFmtId="0" fontId="1" fillId="0" borderId="8" xfId="0" applyFont="1" applyFill="1" applyBorder="1" applyAlignment="1">
      <alignment horizontal="center" wrapText="1"/>
    </xf>
    <xf numFmtId="0" fontId="1" fillId="0" borderId="18" xfId="0" applyFont="1" applyFill="1" applyBorder="1" applyAlignment="1">
      <alignment horizontal="center" wrapText="1"/>
    </xf>
    <xf numFmtId="0" fontId="1" fillId="0" borderId="19" xfId="0" applyFont="1" applyFill="1" applyBorder="1"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colors>
    <mruColors>
      <color rgb="FFFFFFCC"/>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5DCC1-A263-44F8-80DB-190B0EB8DCEB}">
  <dimension ref="A2:R35"/>
  <sheetViews>
    <sheetView tabSelected="1" workbookViewId="0">
      <selection activeCell="A2" sqref="A2:R35"/>
    </sheetView>
  </sheetViews>
  <sheetFormatPr defaultRowHeight="15" x14ac:dyDescent="0.25"/>
  <sheetData>
    <row r="2" spans="1:18" x14ac:dyDescent="0.25">
      <c r="A2" s="60" t="s">
        <v>459</v>
      </c>
      <c r="B2" s="59"/>
      <c r="C2" s="59"/>
      <c r="D2" s="59"/>
      <c r="E2" s="59"/>
      <c r="F2" s="59"/>
      <c r="G2" s="59"/>
      <c r="H2" s="59"/>
      <c r="I2" s="59"/>
      <c r="J2" s="59"/>
      <c r="K2" s="59"/>
      <c r="L2" s="59"/>
      <c r="M2" s="59"/>
      <c r="N2" s="59"/>
      <c r="O2" s="59"/>
      <c r="P2" s="59"/>
      <c r="Q2" s="59"/>
      <c r="R2" s="59"/>
    </row>
    <row r="3" spans="1:18" x14ac:dyDescent="0.25">
      <c r="A3" s="59"/>
      <c r="B3" s="59"/>
      <c r="C3" s="59"/>
      <c r="D3" s="59"/>
      <c r="E3" s="59"/>
      <c r="F3" s="59"/>
      <c r="G3" s="59"/>
      <c r="H3" s="59"/>
      <c r="I3" s="59"/>
      <c r="J3" s="59"/>
      <c r="K3" s="59"/>
      <c r="L3" s="59"/>
      <c r="M3" s="59"/>
      <c r="N3" s="59"/>
      <c r="O3" s="59"/>
      <c r="P3" s="59"/>
      <c r="Q3" s="59"/>
      <c r="R3" s="59"/>
    </row>
    <row r="4" spans="1:18" x14ac:dyDescent="0.25">
      <c r="A4" s="59"/>
      <c r="B4" s="59"/>
      <c r="C4" s="59"/>
      <c r="D4" s="59"/>
      <c r="E4" s="59"/>
      <c r="F4" s="59"/>
      <c r="G4" s="59"/>
      <c r="H4" s="59"/>
      <c r="I4" s="59"/>
      <c r="J4" s="59"/>
      <c r="K4" s="59"/>
      <c r="L4" s="59"/>
      <c r="M4" s="59"/>
      <c r="N4" s="59"/>
      <c r="O4" s="59"/>
      <c r="P4" s="59"/>
      <c r="Q4" s="59"/>
      <c r="R4" s="59"/>
    </row>
    <row r="5" spans="1:18" x14ac:dyDescent="0.25">
      <c r="A5" s="59"/>
      <c r="B5" s="59"/>
      <c r="C5" s="59"/>
      <c r="D5" s="59"/>
      <c r="E5" s="59"/>
      <c r="F5" s="59"/>
      <c r="G5" s="59"/>
      <c r="H5" s="59"/>
      <c r="I5" s="59"/>
      <c r="J5" s="59"/>
      <c r="K5" s="59"/>
      <c r="L5" s="59"/>
      <c r="M5" s="59"/>
      <c r="N5" s="59"/>
      <c r="O5" s="59"/>
      <c r="P5" s="59"/>
      <c r="Q5" s="59"/>
      <c r="R5" s="59"/>
    </row>
    <row r="6" spans="1:18" x14ac:dyDescent="0.25">
      <c r="A6" s="59"/>
      <c r="B6" s="59"/>
      <c r="C6" s="59"/>
      <c r="D6" s="59"/>
      <c r="E6" s="59"/>
      <c r="F6" s="59"/>
      <c r="G6" s="59"/>
      <c r="H6" s="59"/>
      <c r="I6" s="59"/>
      <c r="J6" s="59"/>
      <c r="K6" s="59"/>
      <c r="L6" s="59"/>
      <c r="M6" s="59"/>
      <c r="N6" s="59"/>
      <c r="O6" s="59"/>
      <c r="P6" s="59"/>
      <c r="Q6" s="59"/>
      <c r="R6" s="59"/>
    </row>
    <row r="7" spans="1:18" x14ac:dyDescent="0.25">
      <c r="A7" s="59"/>
      <c r="B7" s="59"/>
      <c r="C7" s="59"/>
      <c r="D7" s="59"/>
      <c r="E7" s="59"/>
      <c r="F7" s="59"/>
      <c r="G7" s="59"/>
      <c r="H7" s="59"/>
      <c r="I7" s="59"/>
      <c r="J7" s="59"/>
      <c r="K7" s="59"/>
      <c r="L7" s="59"/>
      <c r="M7" s="59"/>
      <c r="N7" s="59"/>
      <c r="O7" s="59"/>
      <c r="P7" s="59"/>
      <c r="Q7" s="59"/>
      <c r="R7" s="59"/>
    </row>
    <row r="8" spans="1:18" x14ac:dyDescent="0.25">
      <c r="A8" s="59"/>
      <c r="B8" s="59"/>
      <c r="C8" s="59"/>
      <c r="D8" s="59"/>
      <c r="E8" s="59"/>
      <c r="F8" s="59"/>
      <c r="G8" s="59"/>
      <c r="H8" s="59"/>
      <c r="I8" s="59"/>
      <c r="J8" s="59"/>
      <c r="K8" s="59"/>
      <c r="L8" s="59"/>
      <c r="M8" s="59"/>
      <c r="N8" s="59"/>
      <c r="O8" s="59"/>
      <c r="P8" s="59"/>
      <c r="Q8" s="59"/>
      <c r="R8" s="59"/>
    </row>
    <row r="9" spans="1:18" x14ac:dyDescent="0.25">
      <c r="A9" s="59"/>
      <c r="B9" s="59"/>
      <c r="C9" s="59"/>
      <c r="D9" s="59"/>
      <c r="E9" s="59"/>
      <c r="F9" s="59"/>
      <c r="G9" s="59"/>
      <c r="H9" s="59"/>
      <c r="I9" s="59"/>
      <c r="J9" s="59"/>
      <c r="K9" s="59"/>
      <c r="L9" s="59"/>
      <c r="M9" s="59"/>
      <c r="N9" s="59"/>
      <c r="O9" s="59"/>
      <c r="P9" s="59"/>
      <c r="Q9" s="59"/>
      <c r="R9" s="59"/>
    </row>
    <row r="10" spans="1:18" x14ac:dyDescent="0.25">
      <c r="A10" s="59"/>
      <c r="B10" s="59"/>
      <c r="C10" s="59"/>
      <c r="D10" s="59"/>
      <c r="E10" s="59"/>
      <c r="F10" s="59"/>
      <c r="G10" s="59"/>
      <c r="H10" s="59"/>
      <c r="I10" s="59"/>
      <c r="J10" s="59"/>
      <c r="K10" s="59"/>
      <c r="L10" s="59"/>
      <c r="M10" s="59"/>
      <c r="N10" s="59"/>
      <c r="O10" s="59"/>
      <c r="P10" s="59"/>
      <c r="Q10" s="59"/>
      <c r="R10" s="59"/>
    </row>
    <row r="11" spans="1:18" x14ac:dyDescent="0.25">
      <c r="A11" s="59"/>
      <c r="B11" s="59"/>
      <c r="C11" s="59"/>
      <c r="D11" s="59"/>
      <c r="E11" s="59"/>
      <c r="F11" s="59"/>
      <c r="G11" s="59"/>
      <c r="H11" s="59"/>
      <c r="I11" s="59"/>
      <c r="J11" s="59"/>
      <c r="K11" s="59"/>
      <c r="L11" s="59"/>
      <c r="M11" s="59"/>
      <c r="N11" s="59"/>
      <c r="O11" s="59"/>
      <c r="P11" s="59"/>
      <c r="Q11" s="59"/>
      <c r="R11" s="59"/>
    </row>
    <row r="12" spans="1:18" x14ac:dyDescent="0.25">
      <c r="A12" s="59"/>
      <c r="B12" s="59"/>
      <c r="C12" s="59"/>
      <c r="D12" s="59"/>
      <c r="E12" s="59"/>
      <c r="F12" s="59"/>
      <c r="G12" s="59"/>
      <c r="H12" s="59"/>
      <c r="I12" s="59"/>
      <c r="J12" s="59"/>
      <c r="K12" s="59"/>
      <c r="L12" s="59"/>
      <c r="M12" s="59"/>
      <c r="N12" s="59"/>
      <c r="O12" s="59"/>
      <c r="P12" s="59"/>
      <c r="Q12" s="59"/>
      <c r="R12" s="59"/>
    </row>
    <row r="13" spans="1:18" x14ac:dyDescent="0.25">
      <c r="A13" s="59"/>
      <c r="B13" s="59"/>
      <c r="C13" s="59"/>
      <c r="D13" s="59"/>
      <c r="E13" s="59"/>
      <c r="F13" s="59"/>
      <c r="G13" s="59"/>
      <c r="H13" s="59"/>
      <c r="I13" s="59"/>
      <c r="J13" s="59"/>
      <c r="K13" s="59"/>
      <c r="L13" s="59"/>
      <c r="M13" s="59"/>
      <c r="N13" s="59"/>
      <c r="O13" s="59"/>
      <c r="P13" s="59"/>
      <c r="Q13" s="59"/>
      <c r="R13" s="59"/>
    </row>
    <row r="14" spans="1:18" x14ac:dyDescent="0.25">
      <c r="A14" s="59"/>
      <c r="B14" s="59"/>
      <c r="C14" s="59"/>
      <c r="D14" s="59"/>
      <c r="E14" s="59"/>
      <c r="F14" s="59"/>
      <c r="G14" s="59"/>
      <c r="H14" s="59"/>
      <c r="I14" s="59"/>
      <c r="J14" s="59"/>
      <c r="K14" s="59"/>
      <c r="L14" s="59"/>
      <c r="M14" s="59"/>
      <c r="N14" s="59"/>
      <c r="O14" s="59"/>
      <c r="P14" s="59"/>
      <c r="Q14" s="59"/>
      <c r="R14" s="59"/>
    </row>
    <row r="15" spans="1:18" x14ac:dyDescent="0.25">
      <c r="A15" s="59"/>
      <c r="B15" s="59"/>
      <c r="C15" s="59"/>
      <c r="D15" s="59"/>
      <c r="E15" s="59"/>
      <c r="F15" s="59"/>
      <c r="G15" s="59"/>
      <c r="H15" s="59"/>
      <c r="I15" s="59"/>
      <c r="J15" s="59"/>
      <c r="K15" s="59"/>
      <c r="L15" s="59"/>
      <c r="M15" s="59"/>
      <c r="N15" s="59"/>
      <c r="O15" s="59"/>
      <c r="P15" s="59"/>
      <c r="Q15" s="59"/>
      <c r="R15" s="59"/>
    </row>
    <row r="16" spans="1:18" x14ac:dyDescent="0.25">
      <c r="A16" s="59"/>
      <c r="B16" s="59"/>
      <c r="C16" s="59"/>
      <c r="D16" s="59"/>
      <c r="E16" s="59"/>
      <c r="F16" s="59"/>
      <c r="G16" s="59"/>
      <c r="H16" s="59"/>
      <c r="I16" s="59"/>
      <c r="J16" s="59"/>
      <c r="K16" s="59"/>
      <c r="L16" s="59"/>
      <c r="M16" s="59"/>
      <c r="N16" s="59"/>
      <c r="O16" s="59"/>
      <c r="P16" s="59"/>
      <c r="Q16" s="59"/>
      <c r="R16" s="59"/>
    </row>
    <row r="17" spans="1:18" x14ac:dyDescent="0.25">
      <c r="A17" s="59"/>
      <c r="B17" s="59"/>
      <c r="C17" s="59"/>
      <c r="D17" s="59"/>
      <c r="E17" s="59"/>
      <c r="F17" s="59"/>
      <c r="G17" s="59"/>
      <c r="H17" s="59"/>
      <c r="I17" s="59"/>
      <c r="J17" s="59"/>
      <c r="K17" s="59"/>
      <c r="L17" s="59"/>
      <c r="M17" s="59"/>
      <c r="N17" s="59"/>
      <c r="O17" s="59"/>
      <c r="P17" s="59"/>
      <c r="Q17" s="59"/>
      <c r="R17" s="59"/>
    </row>
    <row r="18" spans="1:18" x14ac:dyDescent="0.25">
      <c r="A18" s="59"/>
      <c r="B18" s="59"/>
      <c r="C18" s="59"/>
      <c r="D18" s="59"/>
      <c r="E18" s="59"/>
      <c r="F18" s="59"/>
      <c r="G18" s="59"/>
      <c r="H18" s="59"/>
      <c r="I18" s="59"/>
      <c r="J18" s="59"/>
      <c r="K18" s="59"/>
      <c r="L18" s="59"/>
      <c r="M18" s="59"/>
      <c r="N18" s="59"/>
      <c r="O18" s="59"/>
      <c r="P18" s="59"/>
      <c r="Q18" s="59"/>
      <c r="R18" s="59"/>
    </row>
    <row r="19" spans="1:18" x14ac:dyDescent="0.25">
      <c r="A19" s="59"/>
      <c r="B19" s="59"/>
      <c r="C19" s="59"/>
      <c r="D19" s="59"/>
      <c r="E19" s="59"/>
      <c r="F19" s="59"/>
      <c r="G19" s="59"/>
      <c r="H19" s="59"/>
      <c r="I19" s="59"/>
      <c r="J19" s="59"/>
      <c r="K19" s="59"/>
      <c r="L19" s="59"/>
      <c r="M19" s="59"/>
      <c r="N19" s="59"/>
      <c r="O19" s="59"/>
      <c r="P19" s="59"/>
      <c r="Q19" s="59"/>
      <c r="R19" s="59"/>
    </row>
    <row r="20" spans="1:18" x14ac:dyDescent="0.25">
      <c r="A20" s="59"/>
      <c r="B20" s="59"/>
      <c r="C20" s="59"/>
      <c r="D20" s="59"/>
      <c r="E20" s="59"/>
      <c r="F20" s="59"/>
      <c r="G20" s="59"/>
      <c r="H20" s="59"/>
      <c r="I20" s="59"/>
      <c r="J20" s="59"/>
      <c r="K20" s="59"/>
      <c r="L20" s="59"/>
      <c r="M20" s="59"/>
      <c r="N20" s="59"/>
      <c r="O20" s="59"/>
      <c r="P20" s="59"/>
      <c r="Q20" s="59"/>
      <c r="R20" s="59"/>
    </row>
    <row r="21" spans="1:18" x14ac:dyDescent="0.25">
      <c r="A21" s="59"/>
      <c r="B21" s="59"/>
      <c r="C21" s="59"/>
      <c r="D21" s="59"/>
      <c r="E21" s="59"/>
      <c r="F21" s="59"/>
      <c r="G21" s="59"/>
      <c r="H21" s="59"/>
      <c r="I21" s="59"/>
      <c r="J21" s="59"/>
      <c r="K21" s="59"/>
      <c r="L21" s="59"/>
      <c r="M21" s="59"/>
      <c r="N21" s="59"/>
      <c r="O21" s="59"/>
      <c r="P21" s="59"/>
      <c r="Q21" s="59"/>
      <c r="R21" s="59"/>
    </row>
    <row r="22" spans="1:18" x14ac:dyDescent="0.25">
      <c r="A22" s="59"/>
      <c r="B22" s="59"/>
      <c r="C22" s="59"/>
      <c r="D22" s="59"/>
      <c r="E22" s="59"/>
      <c r="F22" s="59"/>
      <c r="G22" s="59"/>
      <c r="H22" s="59"/>
      <c r="I22" s="59"/>
      <c r="J22" s="59"/>
      <c r="K22" s="59"/>
      <c r="L22" s="59"/>
      <c r="M22" s="59"/>
      <c r="N22" s="59"/>
      <c r="O22" s="59"/>
      <c r="P22" s="59"/>
      <c r="Q22" s="59"/>
      <c r="R22" s="59"/>
    </row>
    <row r="23" spans="1:18" x14ac:dyDescent="0.25">
      <c r="A23" s="59"/>
      <c r="B23" s="59"/>
      <c r="C23" s="59"/>
      <c r="D23" s="59"/>
      <c r="E23" s="59"/>
      <c r="F23" s="59"/>
      <c r="G23" s="59"/>
      <c r="H23" s="59"/>
      <c r="I23" s="59"/>
      <c r="J23" s="59"/>
      <c r="K23" s="59"/>
      <c r="L23" s="59"/>
      <c r="M23" s="59"/>
      <c r="N23" s="59"/>
      <c r="O23" s="59"/>
      <c r="P23" s="59"/>
      <c r="Q23" s="59"/>
      <c r="R23" s="59"/>
    </row>
    <row r="24" spans="1:18" x14ac:dyDescent="0.25">
      <c r="A24" s="59"/>
      <c r="B24" s="59"/>
      <c r="C24" s="59"/>
      <c r="D24" s="59"/>
      <c r="E24" s="59"/>
      <c r="F24" s="59"/>
      <c r="G24" s="59"/>
      <c r="H24" s="59"/>
      <c r="I24" s="59"/>
      <c r="J24" s="59"/>
      <c r="K24" s="59"/>
      <c r="L24" s="59"/>
      <c r="M24" s="59"/>
      <c r="N24" s="59"/>
      <c r="O24" s="59"/>
      <c r="P24" s="59"/>
      <c r="Q24" s="59"/>
      <c r="R24" s="59"/>
    </row>
    <row r="25" spans="1:18" x14ac:dyDescent="0.25">
      <c r="A25" s="59"/>
      <c r="B25" s="59"/>
      <c r="C25" s="59"/>
      <c r="D25" s="59"/>
      <c r="E25" s="59"/>
      <c r="F25" s="59"/>
      <c r="G25" s="59"/>
      <c r="H25" s="59"/>
      <c r="I25" s="59"/>
      <c r="J25" s="59"/>
      <c r="K25" s="59"/>
      <c r="L25" s="59"/>
      <c r="M25" s="59"/>
      <c r="N25" s="59"/>
      <c r="O25" s="59"/>
      <c r="P25" s="59"/>
      <c r="Q25" s="59"/>
      <c r="R25" s="59"/>
    </row>
    <row r="26" spans="1:18" x14ac:dyDescent="0.25">
      <c r="A26" s="59"/>
      <c r="B26" s="59"/>
      <c r="C26" s="59"/>
      <c r="D26" s="59"/>
      <c r="E26" s="59"/>
      <c r="F26" s="59"/>
      <c r="G26" s="59"/>
      <c r="H26" s="59"/>
      <c r="I26" s="59"/>
      <c r="J26" s="59"/>
      <c r="K26" s="59"/>
      <c r="L26" s="59"/>
      <c r="M26" s="59"/>
      <c r="N26" s="59"/>
      <c r="O26" s="59"/>
      <c r="P26" s="59"/>
      <c r="Q26" s="59"/>
      <c r="R26" s="59"/>
    </row>
    <row r="27" spans="1:18" x14ac:dyDescent="0.25">
      <c r="A27" s="59"/>
      <c r="B27" s="59"/>
      <c r="C27" s="59"/>
      <c r="D27" s="59"/>
      <c r="E27" s="59"/>
      <c r="F27" s="59"/>
      <c r="G27" s="59"/>
      <c r="H27" s="59"/>
      <c r="I27" s="59"/>
      <c r="J27" s="59"/>
      <c r="K27" s="59"/>
      <c r="L27" s="59"/>
      <c r="M27" s="59"/>
      <c r="N27" s="59"/>
      <c r="O27" s="59"/>
      <c r="P27" s="59"/>
      <c r="Q27" s="59"/>
      <c r="R27" s="59"/>
    </row>
    <row r="28" spans="1:18" x14ac:dyDescent="0.25">
      <c r="A28" s="59"/>
      <c r="B28" s="59"/>
      <c r="C28" s="59"/>
      <c r="D28" s="59"/>
      <c r="E28" s="59"/>
      <c r="F28" s="59"/>
      <c r="G28" s="59"/>
      <c r="H28" s="59"/>
      <c r="I28" s="59"/>
      <c r="J28" s="59"/>
      <c r="K28" s="59"/>
      <c r="L28" s="59"/>
      <c r="M28" s="59"/>
      <c r="N28" s="59"/>
      <c r="O28" s="59"/>
      <c r="P28" s="59"/>
      <c r="Q28" s="59"/>
      <c r="R28" s="59"/>
    </row>
    <row r="29" spans="1:18" x14ac:dyDescent="0.25">
      <c r="A29" s="59"/>
      <c r="B29" s="59"/>
      <c r="C29" s="59"/>
      <c r="D29" s="59"/>
      <c r="E29" s="59"/>
      <c r="F29" s="59"/>
      <c r="G29" s="59"/>
      <c r="H29" s="59"/>
      <c r="I29" s="59"/>
      <c r="J29" s="59"/>
      <c r="K29" s="59"/>
      <c r="L29" s="59"/>
      <c r="M29" s="59"/>
      <c r="N29" s="59"/>
      <c r="O29" s="59"/>
      <c r="P29" s="59"/>
      <c r="Q29" s="59"/>
      <c r="R29" s="59"/>
    </row>
    <row r="30" spans="1:18" x14ac:dyDescent="0.25">
      <c r="A30" s="59"/>
      <c r="B30" s="59"/>
      <c r="C30" s="59"/>
      <c r="D30" s="59"/>
      <c r="E30" s="59"/>
      <c r="F30" s="59"/>
      <c r="G30" s="59"/>
      <c r="H30" s="59"/>
      <c r="I30" s="59"/>
      <c r="J30" s="59"/>
      <c r="K30" s="59"/>
      <c r="L30" s="59"/>
      <c r="M30" s="59"/>
      <c r="N30" s="59"/>
      <c r="O30" s="59"/>
      <c r="P30" s="59"/>
      <c r="Q30" s="59"/>
      <c r="R30" s="59"/>
    </row>
    <row r="31" spans="1:18" x14ac:dyDescent="0.25">
      <c r="A31" s="59"/>
      <c r="B31" s="59"/>
      <c r="C31" s="59"/>
      <c r="D31" s="59"/>
      <c r="E31" s="59"/>
      <c r="F31" s="59"/>
      <c r="G31" s="59"/>
      <c r="H31" s="59"/>
      <c r="I31" s="59"/>
      <c r="J31" s="59"/>
      <c r="K31" s="59"/>
      <c r="L31" s="59"/>
      <c r="M31" s="59"/>
      <c r="N31" s="59"/>
      <c r="O31" s="59"/>
      <c r="P31" s="59"/>
      <c r="Q31" s="59"/>
      <c r="R31" s="59"/>
    </row>
    <row r="32" spans="1:18" x14ac:dyDescent="0.25">
      <c r="A32" s="59"/>
      <c r="B32" s="59"/>
      <c r="C32" s="59"/>
      <c r="D32" s="59"/>
      <c r="E32" s="59"/>
      <c r="F32" s="59"/>
      <c r="G32" s="59"/>
      <c r="H32" s="59"/>
      <c r="I32" s="59"/>
      <c r="J32" s="59"/>
      <c r="K32" s="59"/>
      <c r="L32" s="59"/>
      <c r="M32" s="59"/>
      <c r="N32" s="59"/>
      <c r="O32" s="59"/>
      <c r="P32" s="59"/>
      <c r="Q32" s="59"/>
      <c r="R32" s="59"/>
    </row>
    <row r="33" spans="1:18" x14ac:dyDescent="0.25">
      <c r="A33" s="59"/>
      <c r="B33" s="59"/>
      <c r="C33" s="59"/>
      <c r="D33" s="59"/>
      <c r="E33" s="59"/>
      <c r="F33" s="59"/>
      <c r="G33" s="59"/>
      <c r="H33" s="59"/>
      <c r="I33" s="59"/>
      <c r="J33" s="59"/>
      <c r="K33" s="59"/>
      <c r="L33" s="59"/>
      <c r="M33" s="59"/>
      <c r="N33" s="59"/>
      <c r="O33" s="59"/>
      <c r="P33" s="59"/>
      <c r="Q33" s="59"/>
      <c r="R33" s="59"/>
    </row>
    <row r="34" spans="1:18" x14ac:dyDescent="0.25">
      <c r="A34" s="59"/>
      <c r="B34" s="59"/>
      <c r="C34" s="59"/>
      <c r="D34" s="59"/>
      <c r="E34" s="59"/>
      <c r="F34" s="59"/>
      <c r="G34" s="59"/>
      <c r="H34" s="59"/>
      <c r="I34" s="59"/>
      <c r="J34" s="59"/>
      <c r="K34" s="59"/>
      <c r="L34" s="59"/>
      <c r="M34" s="59"/>
      <c r="N34" s="59"/>
      <c r="O34" s="59"/>
      <c r="P34" s="59"/>
      <c r="Q34" s="59"/>
      <c r="R34" s="59"/>
    </row>
    <row r="35" spans="1:18" x14ac:dyDescent="0.25">
      <c r="A35" s="59"/>
      <c r="B35" s="59"/>
      <c r="C35" s="59"/>
      <c r="D35" s="59"/>
      <c r="E35" s="59"/>
      <c r="F35" s="59"/>
      <c r="G35" s="59"/>
      <c r="H35" s="59"/>
      <c r="I35" s="59"/>
      <c r="J35" s="59"/>
      <c r="K35" s="59"/>
      <c r="L35" s="59"/>
      <c r="M35" s="59"/>
      <c r="N35" s="59"/>
      <c r="O35" s="59"/>
      <c r="P35" s="59"/>
      <c r="Q35" s="59"/>
      <c r="R35" s="59"/>
    </row>
  </sheetData>
  <sheetProtection algorithmName="SHA-512" hashValue="SWptk1b0tFmU6Bv2fZSWTajOLQXvTVZxq3evhyvM2quD4g8yZEhYdGJ/yHQMBqZLkFwbUzja2jJE2dlfHeW9SA==" saltValue="YqiWGGyaECGlG+1u93Ue9Q==" spinCount="100000" sheet="1" objects="1" scenarios="1"/>
  <mergeCells count="1">
    <mergeCell ref="A2:R3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23425-FF3D-493C-844A-BFB2738314FE}">
  <dimension ref="A1:R257"/>
  <sheetViews>
    <sheetView workbookViewId="0"/>
  </sheetViews>
  <sheetFormatPr defaultRowHeight="15" x14ac:dyDescent="0.25"/>
  <cols>
    <col min="1" max="1" width="18.5703125" bestFit="1" customWidth="1"/>
    <col min="2" max="2" width="51.28515625" bestFit="1" customWidth="1"/>
    <col min="3" max="3" width="16.42578125" style="3" customWidth="1"/>
    <col min="4" max="4" width="27" style="3" bestFit="1" customWidth="1"/>
    <col min="5" max="5" width="26.85546875" bestFit="1" customWidth="1"/>
    <col min="6" max="6" width="49.5703125" bestFit="1" customWidth="1"/>
    <col min="7" max="7" width="8.42578125" style="3" bestFit="1" customWidth="1"/>
    <col min="8" max="8" width="7" style="3" bestFit="1" customWidth="1"/>
    <col min="9" max="9" width="13.42578125" style="3" bestFit="1" customWidth="1"/>
    <col min="10" max="10" width="9.42578125" bestFit="1" customWidth="1"/>
    <col min="11" max="11" width="12.28515625" customWidth="1"/>
    <col min="12" max="12" width="27.7109375" customWidth="1"/>
    <col min="13" max="13" width="17.28515625" customWidth="1"/>
    <col min="14" max="14" width="25" customWidth="1"/>
    <col min="15" max="15" width="24.7109375" customWidth="1"/>
    <col min="16" max="16" width="15.140625" customWidth="1"/>
    <col min="17" max="17" width="18.140625" customWidth="1"/>
    <col min="18" max="18" width="28.85546875" customWidth="1"/>
  </cols>
  <sheetData>
    <row r="1" spans="1:18" s="74" customFormat="1" ht="31.5" customHeight="1" thickBot="1" x14ac:dyDescent="0.3">
      <c r="A1" s="61" t="s">
        <v>0</v>
      </c>
      <c r="B1" s="62" t="s">
        <v>1</v>
      </c>
      <c r="C1" s="63" t="s">
        <v>2</v>
      </c>
      <c r="D1" s="70" t="s">
        <v>6</v>
      </c>
      <c r="E1" s="64" t="s">
        <v>5</v>
      </c>
      <c r="F1" s="65" t="s">
        <v>8</v>
      </c>
      <c r="G1" s="66" t="s">
        <v>3</v>
      </c>
      <c r="H1" s="66" t="s">
        <v>4</v>
      </c>
      <c r="I1" s="66" t="s">
        <v>451</v>
      </c>
      <c r="J1" s="67" t="s">
        <v>452</v>
      </c>
      <c r="K1" s="68" t="s">
        <v>7</v>
      </c>
      <c r="L1" s="69" t="s">
        <v>455</v>
      </c>
      <c r="M1" s="63" t="s">
        <v>456</v>
      </c>
      <c r="N1" s="69" t="s">
        <v>453</v>
      </c>
      <c r="O1" s="70" t="s">
        <v>454</v>
      </c>
      <c r="P1" s="71" t="s">
        <v>457</v>
      </c>
      <c r="Q1" s="72" t="s">
        <v>462</v>
      </c>
      <c r="R1" s="73" t="s">
        <v>463</v>
      </c>
    </row>
    <row r="2" spans="1:18" x14ac:dyDescent="0.25">
      <c r="A2" s="21" t="s">
        <v>9</v>
      </c>
      <c r="B2" s="22" t="s">
        <v>10</v>
      </c>
      <c r="C2" s="5"/>
      <c r="D2" s="39" t="s">
        <v>12</v>
      </c>
      <c r="E2" s="40" t="s">
        <v>11</v>
      </c>
      <c r="F2" s="23" t="s">
        <v>13</v>
      </c>
      <c r="G2" s="39">
        <v>29</v>
      </c>
      <c r="H2" s="39">
        <f>ROUNDUP(G2*0.1,0)</f>
        <v>3</v>
      </c>
      <c r="I2" s="38">
        <f>G2+H2</f>
        <v>32</v>
      </c>
      <c r="J2" s="13"/>
      <c r="K2" s="41">
        <f>J2*(G2+H2)</f>
        <v>0</v>
      </c>
      <c r="L2" s="8"/>
      <c r="M2" s="6"/>
      <c r="N2" s="10"/>
      <c r="O2" s="18"/>
      <c r="P2" s="29"/>
      <c r="Q2" s="30"/>
      <c r="R2" s="31"/>
    </row>
    <row r="3" spans="1:18" x14ac:dyDescent="0.25">
      <c r="A3" s="24" t="s">
        <v>9</v>
      </c>
      <c r="B3" s="20" t="s">
        <v>14</v>
      </c>
      <c r="C3" s="55"/>
      <c r="D3" s="4" t="s">
        <v>16</v>
      </c>
      <c r="E3" s="42" t="s">
        <v>15</v>
      </c>
      <c r="F3" s="25" t="s">
        <v>13</v>
      </c>
      <c r="G3" s="4">
        <v>29</v>
      </c>
      <c r="H3" s="4">
        <v>0</v>
      </c>
      <c r="I3" s="12">
        <f t="shared" ref="I3:I66" si="0">G3+H3</f>
        <v>29</v>
      </c>
      <c r="J3" s="14"/>
      <c r="K3" s="43">
        <f>J3*(G3+H3)</f>
        <v>0</v>
      </c>
      <c r="L3" s="8"/>
      <c r="M3" s="6"/>
      <c r="N3" s="10"/>
      <c r="O3" s="18"/>
      <c r="P3" s="32"/>
      <c r="Q3" s="33"/>
      <c r="R3" s="34"/>
    </row>
    <row r="4" spans="1:18" x14ac:dyDescent="0.25">
      <c r="A4" s="24" t="s">
        <v>9</v>
      </c>
      <c r="B4" s="20" t="s">
        <v>17</v>
      </c>
      <c r="C4" s="55"/>
      <c r="D4" s="4" t="s">
        <v>12</v>
      </c>
      <c r="E4" s="42" t="s">
        <v>18</v>
      </c>
      <c r="F4" s="25" t="s">
        <v>19</v>
      </c>
      <c r="G4" s="4">
        <v>10</v>
      </c>
      <c r="H4" s="4">
        <f>ROUNDUP(G4*0.1,0)</f>
        <v>1</v>
      </c>
      <c r="I4" s="12">
        <f t="shared" si="0"/>
        <v>11</v>
      </c>
      <c r="J4" s="14"/>
      <c r="K4" s="43">
        <f>J4*(G4+H4)</f>
        <v>0</v>
      </c>
      <c r="L4" s="8"/>
      <c r="M4" s="6"/>
      <c r="N4" s="10"/>
      <c r="O4" s="18"/>
      <c r="P4" s="32"/>
      <c r="Q4" s="33"/>
      <c r="R4" s="34"/>
    </row>
    <row r="5" spans="1:18" x14ac:dyDescent="0.25">
      <c r="A5" s="24" t="s">
        <v>9</v>
      </c>
      <c r="B5" s="20" t="s">
        <v>20</v>
      </c>
      <c r="C5" s="55"/>
      <c r="D5" s="4" t="s">
        <v>12</v>
      </c>
      <c r="E5" s="42" t="s">
        <v>21</v>
      </c>
      <c r="F5" s="25" t="s">
        <v>19</v>
      </c>
      <c r="G5" s="4">
        <v>10</v>
      </c>
      <c r="H5" s="4">
        <f>ROUNDUP(G5*0.1,0)</f>
        <v>1</v>
      </c>
      <c r="I5" s="12">
        <f t="shared" si="0"/>
        <v>11</v>
      </c>
      <c r="J5" s="14"/>
      <c r="K5" s="43">
        <f>J5*(G5+H5)</f>
        <v>0</v>
      </c>
      <c r="L5" s="8"/>
      <c r="M5" s="6"/>
      <c r="N5" s="10"/>
      <c r="O5" s="18"/>
      <c r="P5" s="32"/>
      <c r="Q5" s="33"/>
      <c r="R5" s="34"/>
    </row>
    <row r="6" spans="1:18" x14ac:dyDescent="0.25">
      <c r="A6" s="24" t="s">
        <v>9</v>
      </c>
      <c r="B6" s="20" t="s">
        <v>22</v>
      </c>
      <c r="C6" s="55"/>
      <c r="D6" s="4" t="s">
        <v>16</v>
      </c>
      <c r="E6" s="42" t="s">
        <v>23</v>
      </c>
      <c r="F6" s="25" t="s">
        <v>13</v>
      </c>
      <c r="G6" s="4">
        <v>29</v>
      </c>
      <c r="H6" s="4">
        <f>ROUNDUP(G6*0.1,0)</f>
        <v>3</v>
      </c>
      <c r="I6" s="12">
        <f t="shared" si="0"/>
        <v>32</v>
      </c>
      <c r="J6" s="14"/>
      <c r="K6" s="43">
        <f>J6*(G6+H6)</f>
        <v>0</v>
      </c>
      <c r="L6" s="8"/>
      <c r="M6" s="6"/>
      <c r="N6" s="10"/>
      <c r="O6" s="18"/>
      <c r="P6" s="32"/>
      <c r="Q6" s="33"/>
      <c r="R6" s="34"/>
    </row>
    <row r="7" spans="1:18" x14ac:dyDescent="0.25">
      <c r="A7" s="24" t="s">
        <v>9</v>
      </c>
      <c r="B7" s="20" t="s">
        <v>24</v>
      </c>
      <c r="C7" s="55"/>
      <c r="D7" s="4" t="s">
        <v>26</v>
      </c>
      <c r="E7" s="44" t="s">
        <v>25</v>
      </c>
      <c r="F7" s="25" t="s">
        <v>13</v>
      </c>
      <c r="G7" s="4">
        <v>29</v>
      </c>
      <c r="H7" s="4">
        <f>ROUNDUP(G7*0.1,0)</f>
        <v>3</v>
      </c>
      <c r="I7" s="12">
        <f t="shared" si="0"/>
        <v>32</v>
      </c>
      <c r="J7" s="14"/>
      <c r="K7" s="43">
        <f>J7*(G7+H7)</f>
        <v>0</v>
      </c>
      <c r="L7" s="8"/>
      <c r="M7" s="6"/>
      <c r="N7" s="10"/>
      <c r="O7" s="18"/>
      <c r="P7" s="32"/>
      <c r="Q7" s="33"/>
      <c r="R7" s="34"/>
    </row>
    <row r="8" spans="1:18" x14ac:dyDescent="0.25">
      <c r="A8" s="24" t="s">
        <v>9</v>
      </c>
      <c r="B8" s="20" t="s">
        <v>27</v>
      </c>
      <c r="C8" s="55"/>
      <c r="D8" s="4" t="s">
        <v>29</v>
      </c>
      <c r="E8" s="42" t="s">
        <v>28</v>
      </c>
      <c r="F8" s="25" t="s">
        <v>13</v>
      </c>
      <c r="G8" s="4">
        <v>29</v>
      </c>
      <c r="H8" s="4">
        <f>ROUNDUP(G8*0.1,0)</f>
        <v>3</v>
      </c>
      <c r="I8" s="12">
        <f t="shared" si="0"/>
        <v>32</v>
      </c>
      <c r="J8" s="14"/>
      <c r="K8" s="43">
        <f>J8*(G8+H8)</f>
        <v>0</v>
      </c>
      <c r="L8" s="8"/>
      <c r="M8" s="6"/>
      <c r="N8" s="10"/>
      <c r="O8" s="18"/>
      <c r="P8" s="32"/>
      <c r="Q8" s="33"/>
      <c r="R8" s="34"/>
    </row>
    <row r="9" spans="1:18" x14ac:dyDescent="0.25">
      <c r="A9" s="24" t="s">
        <v>9</v>
      </c>
      <c r="B9" s="20" t="s">
        <v>30</v>
      </c>
      <c r="C9" s="55"/>
      <c r="D9" s="4" t="s">
        <v>29</v>
      </c>
      <c r="E9" s="42" t="s">
        <v>31</v>
      </c>
      <c r="F9" s="25" t="s">
        <v>32</v>
      </c>
      <c r="G9" s="4">
        <v>4</v>
      </c>
      <c r="H9" s="4">
        <v>0</v>
      </c>
      <c r="I9" s="12">
        <f t="shared" si="0"/>
        <v>4</v>
      </c>
      <c r="J9" s="14"/>
      <c r="K9" s="43">
        <f>J9*(G9+H9)</f>
        <v>0</v>
      </c>
      <c r="L9" s="8"/>
      <c r="M9" s="6"/>
      <c r="N9" s="10"/>
      <c r="O9" s="18"/>
      <c r="P9" s="32"/>
      <c r="Q9" s="33"/>
      <c r="R9" s="34"/>
    </row>
    <row r="10" spans="1:18" x14ac:dyDescent="0.25">
      <c r="A10" s="24" t="s">
        <v>9</v>
      </c>
      <c r="B10" s="20" t="s">
        <v>33</v>
      </c>
      <c r="C10" s="55" t="s">
        <v>34</v>
      </c>
      <c r="D10" s="4" t="s">
        <v>29</v>
      </c>
      <c r="E10" s="42" t="s">
        <v>35</v>
      </c>
      <c r="F10" s="25" t="s">
        <v>36</v>
      </c>
      <c r="G10" s="4">
        <v>58</v>
      </c>
      <c r="H10" s="4">
        <v>2</v>
      </c>
      <c r="I10" s="12">
        <f t="shared" si="0"/>
        <v>60</v>
      </c>
      <c r="J10" s="14"/>
      <c r="K10" s="43">
        <f>J10*(G10+H10)</f>
        <v>0</v>
      </c>
      <c r="L10" s="8"/>
      <c r="M10" s="6"/>
      <c r="N10" s="10"/>
      <c r="O10" s="18"/>
      <c r="P10" s="32"/>
      <c r="Q10" s="33"/>
      <c r="R10" s="34"/>
    </row>
    <row r="11" spans="1:18" x14ac:dyDescent="0.25">
      <c r="A11" s="24" t="s">
        <v>9</v>
      </c>
      <c r="B11" s="20" t="s">
        <v>37</v>
      </c>
      <c r="C11" s="55" t="s">
        <v>38</v>
      </c>
      <c r="D11" s="4" t="s">
        <v>29</v>
      </c>
      <c r="E11" s="42" t="s">
        <v>39</v>
      </c>
      <c r="F11" s="25" t="s">
        <v>40</v>
      </c>
      <c r="G11" s="4">
        <v>59</v>
      </c>
      <c r="H11" s="4">
        <v>1</v>
      </c>
      <c r="I11" s="12">
        <f t="shared" si="0"/>
        <v>60</v>
      </c>
      <c r="J11" s="14"/>
      <c r="K11" s="43">
        <f>J11*(G11+H11)</f>
        <v>0</v>
      </c>
      <c r="L11" s="8"/>
      <c r="M11" s="6"/>
      <c r="N11" s="10"/>
      <c r="O11" s="18"/>
      <c r="P11" s="32"/>
      <c r="Q11" s="33"/>
      <c r="R11" s="34"/>
    </row>
    <row r="12" spans="1:18" x14ac:dyDescent="0.25">
      <c r="A12" s="24" t="s">
        <v>9</v>
      </c>
      <c r="B12" s="20" t="s">
        <v>41</v>
      </c>
      <c r="C12" s="55" t="s">
        <v>38</v>
      </c>
      <c r="D12" s="4" t="s">
        <v>29</v>
      </c>
      <c r="E12" s="42" t="s">
        <v>42</v>
      </c>
      <c r="F12" s="25" t="s">
        <v>43</v>
      </c>
      <c r="G12" s="4">
        <v>13</v>
      </c>
      <c r="H12" s="4">
        <v>0</v>
      </c>
      <c r="I12" s="12">
        <f t="shared" si="0"/>
        <v>13</v>
      </c>
      <c r="J12" s="14"/>
      <c r="K12" s="43">
        <f>J12*(G12+H12)</f>
        <v>0</v>
      </c>
      <c r="L12" s="8"/>
      <c r="M12" s="6"/>
      <c r="N12" s="10"/>
      <c r="O12" s="18"/>
      <c r="P12" s="32"/>
      <c r="Q12" s="33"/>
      <c r="R12" s="34"/>
    </row>
    <row r="13" spans="1:18" x14ac:dyDescent="0.25">
      <c r="A13" s="24" t="s">
        <v>9</v>
      </c>
      <c r="B13" s="20" t="s">
        <v>41</v>
      </c>
      <c r="C13" s="55" t="s">
        <v>38</v>
      </c>
      <c r="D13" s="4" t="s">
        <v>29</v>
      </c>
      <c r="E13" s="42" t="s">
        <v>44</v>
      </c>
      <c r="F13" s="25" t="s">
        <v>45</v>
      </c>
      <c r="G13" s="4">
        <v>2</v>
      </c>
      <c r="H13" s="4">
        <v>0</v>
      </c>
      <c r="I13" s="12">
        <f t="shared" si="0"/>
        <v>2</v>
      </c>
      <c r="J13" s="14"/>
      <c r="K13" s="43">
        <f>J13*(G13+H13)</f>
        <v>0</v>
      </c>
      <c r="L13" s="8"/>
      <c r="M13" s="6"/>
      <c r="N13" s="10"/>
      <c r="O13" s="18"/>
      <c r="P13" s="32"/>
      <c r="Q13" s="33"/>
      <c r="R13" s="34"/>
    </row>
    <row r="14" spans="1:18" x14ac:dyDescent="0.25">
      <c r="A14" s="24" t="s">
        <v>9</v>
      </c>
      <c r="B14" s="20" t="s">
        <v>46</v>
      </c>
      <c r="C14" s="55"/>
      <c r="D14" s="4" t="s">
        <v>29</v>
      </c>
      <c r="E14" s="42" t="s">
        <v>47</v>
      </c>
      <c r="F14" s="25" t="s">
        <v>13</v>
      </c>
      <c r="G14" s="4">
        <v>29</v>
      </c>
      <c r="H14" s="4">
        <v>0</v>
      </c>
      <c r="I14" s="12">
        <f t="shared" si="0"/>
        <v>29</v>
      </c>
      <c r="J14" s="14"/>
      <c r="K14" s="43">
        <f>J14*(G14+H14)</f>
        <v>0</v>
      </c>
      <c r="L14" s="8"/>
      <c r="M14" s="6"/>
      <c r="N14" s="10"/>
      <c r="O14" s="18"/>
      <c r="P14" s="32"/>
      <c r="Q14" s="33"/>
      <c r="R14" s="34"/>
    </row>
    <row r="15" spans="1:18" x14ac:dyDescent="0.25">
      <c r="A15" s="24" t="s">
        <v>9</v>
      </c>
      <c r="B15" s="20" t="s">
        <v>48</v>
      </c>
      <c r="C15" s="55"/>
      <c r="D15" s="4" t="s">
        <v>29</v>
      </c>
      <c r="E15" s="42" t="s">
        <v>49</v>
      </c>
      <c r="F15" s="25" t="s">
        <v>50</v>
      </c>
      <c r="G15" s="4">
        <v>22</v>
      </c>
      <c r="H15" s="4">
        <v>1</v>
      </c>
      <c r="I15" s="12">
        <f t="shared" si="0"/>
        <v>23</v>
      </c>
      <c r="J15" s="14"/>
      <c r="K15" s="43">
        <f>J15*(G15+H15)</f>
        <v>0</v>
      </c>
      <c r="L15" s="8"/>
      <c r="M15" s="6"/>
      <c r="N15" s="10"/>
      <c r="O15" s="18"/>
      <c r="P15" s="32"/>
      <c r="Q15" s="33"/>
      <c r="R15" s="34"/>
    </row>
    <row r="16" spans="1:18" x14ac:dyDescent="0.25">
      <c r="A16" s="24" t="s">
        <v>9</v>
      </c>
      <c r="B16" s="20" t="s">
        <v>51</v>
      </c>
      <c r="C16" s="55" t="s">
        <v>52</v>
      </c>
      <c r="D16" s="4" t="s">
        <v>29</v>
      </c>
      <c r="E16" s="42" t="s">
        <v>53</v>
      </c>
      <c r="F16" s="25" t="s">
        <v>50</v>
      </c>
      <c r="G16" s="4">
        <v>22</v>
      </c>
      <c r="H16" s="4">
        <v>1</v>
      </c>
      <c r="I16" s="12">
        <f t="shared" si="0"/>
        <v>23</v>
      </c>
      <c r="J16" s="14"/>
      <c r="K16" s="43">
        <f>J16*(G16+H16)</f>
        <v>0</v>
      </c>
      <c r="L16" s="8"/>
      <c r="M16" s="6"/>
      <c r="N16" s="10"/>
      <c r="O16" s="18"/>
      <c r="P16" s="32"/>
      <c r="Q16" s="33"/>
      <c r="R16" s="34"/>
    </row>
    <row r="17" spans="1:18" x14ac:dyDescent="0.25">
      <c r="A17" s="24" t="s">
        <v>9</v>
      </c>
      <c r="B17" s="20" t="s">
        <v>54</v>
      </c>
      <c r="C17" s="55"/>
      <c r="D17" s="4" t="s">
        <v>29</v>
      </c>
      <c r="E17" s="42" t="s">
        <v>55</v>
      </c>
      <c r="F17" s="25" t="s">
        <v>50</v>
      </c>
      <c r="G17" s="4">
        <v>22</v>
      </c>
      <c r="H17" s="4">
        <v>1</v>
      </c>
      <c r="I17" s="12">
        <f t="shared" si="0"/>
        <v>23</v>
      </c>
      <c r="J17" s="14"/>
      <c r="K17" s="43">
        <f>J17*(G17+H17)</f>
        <v>0</v>
      </c>
      <c r="L17" s="8"/>
      <c r="M17" s="6"/>
      <c r="N17" s="10"/>
      <c r="O17" s="18"/>
      <c r="P17" s="32"/>
      <c r="Q17" s="33"/>
      <c r="R17" s="34"/>
    </row>
    <row r="18" spans="1:18" x14ac:dyDescent="0.25">
      <c r="A18" s="24" t="s">
        <v>9</v>
      </c>
      <c r="B18" s="20" t="s">
        <v>56</v>
      </c>
      <c r="C18" s="55"/>
      <c r="D18" s="4" t="s">
        <v>29</v>
      </c>
      <c r="E18" s="44" t="s">
        <v>57</v>
      </c>
      <c r="F18" s="25" t="s">
        <v>58</v>
      </c>
      <c r="G18" s="4">
        <v>50</v>
      </c>
      <c r="H18" s="4">
        <v>3</v>
      </c>
      <c r="I18" s="12">
        <f t="shared" si="0"/>
        <v>53</v>
      </c>
      <c r="J18" s="14"/>
      <c r="K18" s="43">
        <f>J18*(G18+H18)</f>
        <v>0</v>
      </c>
      <c r="L18" s="8"/>
      <c r="M18" s="6"/>
      <c r="N18" s="10"/>
      <c r="O18" s="18"/>
      <c r="P18" s="32"/>
      <c r="Q18" s="33"/>
      <c r="R18" s="34"/>
    </row>
    <row r="19" spans="1:18" x14ac:dyDescent="0.25">
      <c r="A19" s="24" t="s">
        <v>9</v>
      </c>
      <c r="B19" s="20" t="s">
        <v>59</v>
      </c>
      <c r="C19" s="55"/>
      <c r="D19" s="4" t="s">
        <v>29</v>
      </c>
      <c r="E19" s="42" t="s">
        <v>60</v>
      </c>
      <c r="F19" s="25" t="s">
        <v>61</v>
      </c>
      <c r="G19" s="4">
        <v>50</v>
      </c>
      <c r="H19" s="4">
        <v>1</v>
      </c>
      <c r="I19" s="12">
        <f t="shared" si="0"/>
        <v>51</v>
      </c>
      <c r="J19" s="14"/>
      <c r="K19" s="43">
        <f>J19*(G19+H19)</f>
        <v>0</v>
      </c>
      <c r="L19" s="8"/>
      <c r="M19" s="6"/>
      <c r="N19" s="10"/>
      <c r="O19" s="18"/>
      <c r="P19" s="32"/>
      <c r="Q19" s="33"/>
      <c r="R19" s="34"/>
    </row>
    <row r="20" spans="1:18" x14ac:dyDescent="0.25">
      <c r="A20" s="24" t="s">
        <v>9</v>
      </c>
      <c r="B20" s="20" t="s">
        <v>62</v>
      </c>
      <c r="C20" s="55"/>
      <c r="D20" s="4" t="s">
        <v>29</v>
      </c>
      <c r="E20" s="42" t="s">
        <v>63</v>
      </c>
      <c r="F20" s="25" t="s">
        <v>36</v>
      </c>
      <c r="G20" s="4">
        <v>58</v>
      </c>
      <c r="H20" s="4">
        <v>10</v>
      </c>
      <c r="I20" s="12">
        <f t="shared" si="0"/>
        <v>68</v>
      </c>
      <c r="J20" s="14"/>
      <c r="K20" s="43">
        <f>J20*(G20+H20)</f>
        <v>0</v>
      </c>
      <c r="L20" s="8"/>
      <c r="M20" s="6"/>
      <c r="N20" s="10"/>
      <c r="O20" s="18"/>
      <c r="P20" s="32"/>
      <c r="Q20" s="33"/>
      <c r="R20" s="34"/>
    </row>
    <row r="21" spans="1:18" x14ac:dyDescent="0.25">
      <c r="A21" s="24" t="s">
        <v>9</v>
      </c>
      <c r="B21" s="20" t="s">
        <v>64</v>
      </c>
      <c r="C21" s="55"/>
      <c r="D21" s="4" t="s">
        <v>29</v>
      </c>
      <c r="E21" s="42" t="s">
        <v>65</v>
      </c>
      <c r="F21" s="25" t="s">
        <v>66</v>
      </c>
      <c r="G21" s="4">
        <v>29</v>
      </c>
      <c r="H21" s="4">
        <v>3</v>
      </c>
      <c r="I21" s="12">
        <f t="shared" si="0"/>
        <v>32</v>
      </c>
      <c r="J21" s="14"/>
      <c r="K21" s="43">
        <f>J21*(G21+H21)</f>
        <v>0</v>
      </c>
      <c r="L21" s="8"/>
      <c r="M21" s="6"/>
      <c r="N21" s="10"/>
      <c r="O21" s="18"/>
      <c r="P21" s="32"/>
      <c r="Q21" s="33"/>
      <c r="R21" s="34"/>
    </row>
    <row r="22" spans="1:18" x14ac:dyDescent="0.25">
      <c r="A22" s="24" t="s">
        <v>9</v>
      </c>
      <c r="B22" s="20" t="s">
        <v>67</v>
      </c>
      <c r="C22" s="55"/>
      <c r="D22" s="4" t="s">
        <v>29</v>
      </c>
      <c r="E22" s="42" t="s">
        <v>68</v>
      </c>
      <c r="F22" s="25" t="s">
        <v>66</v>
      </c>
      <c r="G22" s="4">
        <v>29</v>
      </c>
      <c r="H22" s="4">
        <v>1</v>
      </c>
      <c r="I22" s="12">
        <f t="shared" si="0"/>
        <v>30</v>
      </c>
      <c r="J22" s="14"/>
      <c r="K22" s="43">
        <f>J22*(G22+H22)</f>
        <v>0</v>
      </c>
      <c r="L22" s="8"/>
      <c r="M22" s="6"/>
      <c r="N22" s="10"/>
      <c r="O22" s="18"/>
      <c r="P22" s="32"/>
      <c r="Q22" s="33"/>
      <c r="R22" s="34"/>
    </row>
    <row r="23" spans="1:18" x14ac:dyDescent="0.25">
      <c r="A23" s="24" t="s">
        <v>9</v>
      </c>
      <c r="B23" s="20" t="s">
        <v>69</v>
      </c>
      <c r="C23" s="55"/>
      <c r="D23" s="4" t="s">
        <v>29</v>
      </c>
      <c r="E23" s="42" t="s">
        <v>70</v>
      </c>
      <c r="F23" s="25" t="s">
        <v>66</v>
      </c>
      <c r="G23" s="4">
        <v>29</v>
      </c>
      <c r="H23" s="4">
        <v>1</v>
      </c>
      <c r="I23" s="12">
        <f t="shared" si="0"/>
        <v>30</v>
      </c>
      <c r="J23" s="14"/>
      <c r="K23" s="43">
        <f>J23*(G23+H23)</f>
        <v>0</v>
      </c>
      <c r="L23" s="8"/>
      <c r="M23" s="6"/>
      <c r="N23" s="10"/>
      <c r="O23" s="18"/>
      <c r="P23" s="32"/>
      <c r="Q23" s="33"/>
      <c r="R23" s="34"/>
    </row>
    <row r="24" spans="1:18" x14ac:dyDescent="0.25">
      <c r="A24" s="24" t="s">
        <v>9</v>
      </c>
      <c r="B24" s="20" t="s">
        <v>71</v>
      </c>
      <c r="C24" s="55"/>
      <c r="D24" s="4" t="s">
        <v>29</v>
      </c>
      <c r="E24" s="42" t="s">
        <v>72</v>
      </c>
      <c r="F24" s="25" t="s">
        <v>66</v>
      </c>
      <c r="G24" s="4">
        <v>29</v>
      </c>
      <c r="H24" s="4">
        <v>1</v>
      </c>
      <c r="I24" s="12">
        <f t="shared" si="0"/>
        <v>30</v>
      </c>
      <c r="J24" s="14"/>
      <c r="K24" s="43">
        <f>J24*(G24+H24)</f>
        <v>0</v>
      </c>
      <c r="L24" s="8"/>
      <c r="M24" s="6"/>
      <c r="N24" s="10"/>
      <c r="O24" s="18"/>
      <c r="P24" s="32"/>
      <c r="Q24" s="33"/>
      <c r="R24" s="34"/>
    </row>
    <row r="25" spans="1:18" x14ac:dyDescent="0.25">
      <c r="A25" s="24" t="s">
        <v>9</v>
      </c>
      <c r="B25" s="20" t="s">
        <v>73</v>
      </c>
      <c r="C25" s="55"/>
      <c r="D25" s="4" t="s">
        <v>29</v>
      </c>
      <c r="E25" s="42" t="s">
        <v>74</v>
      </c>
      <c r="F25" s="25" t="s">
        <v>66</v>
      </c>
      <c r="G25" s="4">
        <v>29</v>
      </c>
      <c r="H25" s="4">
        <v>1</v>
      </c>
      <c r="I25" s="12">
        <f t="shared" si="0"/>
        <v>30</v>
      </c>
      <c r="J25" s="14"/>
      <c r="K25" s="43">
        <f>J25*(G25+H25)</f>
        <v>0</v>
      </c>
      <c r="L25" s="8"/>
      <c r="M25" s="6"/>
      <c r="N25" s="10"/>
      <c r="O25" s="18"/>
      <c r="P25" s="32"/>
      <c r="Q25" s="33"/>
      <c r="R25" s="34"/>
    </row>
    <row r="26" spans="1:18" x14ac:dyDescent="0.25">
      <c r="A26" s="24" t="s">
        <v>9</v>
      </c>
      <c r="B26" s="20" t="s">
        <v>75</v>
      </c>
      <c r="C26" s="55"/>
      <c r="D26" s="4" t="s">
        <v>29</v>
      </c>
      <c r="E26" s="42" t="s">
        <v>76</v>
      </c>
      <c r="F26" s="25" t="s">
        <v>66</v>
      </c>
      <c r="G26" s="4">
        <v>29</v>
      </c>
      <c r="H26" s="4">
        <v>1</v>
      </c>
      <c r="I26" s="12">
        <f t="shared" si="0"/>
        <v>30</v>
      </c>
      <c r="J26" s="14"/>
      <c r="K26" s="43">
        <f>J26*(G26+H26)</f>
        <v>0</v>
      </c>
      <c r="L26" s="8"/>
      <c r="M26" s="6"/>
      <c r="N26" s="10"/>
      <c r="O26" s="18"/>
      <c r="P26" s="32"/>
      <c r="Q26" s="33"/>
      <c r="R26" s="34"/>
    </row>
    <row r="27" spans="1:18" x14ac:dyDescent="0.25">
      <c r="A27" s="24" t="s">
        <v>9</v>
      </c>
      <c r="B27" s="20" t="s">
        <v>77</v>
      </c>
      <c r="C27" s="55" t="s">
        <v>78</v>
      </c>
      <c r="D27" s="4" t="s">
        <v>78</v>
      </c>
      <c r="E27" s="42" t="s">
        <v>79</v>
      </c>
      <c r="F27" s="25" t="s">
        <v>80</v>
      </c>
      <c r="G27" s="4">
        <v>4</v>
      </c>
      <c r="H27" s="4">
        <v>1</v>
      </c>
      <c r="I27" s="12">
        <f t="shared" si="0"/>
        <v>5</v>
      </c>
      <c r="J27" s="14"/>
      <c r="K27" s="43">
        <f>J27*(G27+H27)</f>
        <v>0</v>
      </c>
      <c r="L27" s="8"/>
      <c r="M27" s="6"/>
      <c r="N27" s="10"/>
      <c r="O27" s="18"/>
      <c r="P27" s="32"/>
      <c r="Q27" s="33"/>
      <c r="R27" s="34"/>
    </row>
    <row r="28" spans="1:18" x14ac:dyDescent="0.25">
      <c r="A28" s="24" t="s">
        <v>9</v>
      </c>
      <c r="B28" s="20" t="s">
        <v>81</v>
      </c>
      <c r="C28" s="55"/>
      <c r="D28" s="4" t="s">
        <v>83</v>
      </c>
      <c r="E28" s="42" t="s">
        <v>82</v>
      </c>
      <c r="F28" s="25" t="s">
        <v>66</v>
      </c>
      <c r="G28" s="4">
        <v>29</v>
      </c>
      <c r="H28" s="4">
        <v>1</v>
      </c>
      <c r="I28" s="12">
        <f t="shared" si="0"/>
        <v>30</v>
      </c>
      <c r="J28" s="14"/>
      <c r="K28" s="43">
        <f>J28*(G28+H28)</f>
        <v>0</v>
      </c>
      <c r="L28" s="8"/>
      <c r="M28" s="6"/>
      <c r="N28" s="10"/>
      <c r="O28" s="18"/>
      <c r="P28" s="32"/>
      <c r="Q28" s="33"/>
      <c r="R28" s="34"/>
    </row>
    <row r="29" spans="1:18" x14ac:dyDescent="0.25">
      <c r="A29" s="24" t="s">
        <v>9</v>
      </c>
      <c r="B29" s="20" t="s">
        <v>84</v>
      </c>
      <c r="C29" s="55"/>
      <c r="D29" s="4" t="s">
        <v>83</v>
      </c>
      <c r="E29" s="42" t="s">
        <v>85</v>
      </c>
      <c r="F29" s="25" t="s">
        <v>86</v>
      </c>
      <c r="G29" s="4">
        <v>10</v>
      </c>
      <c r="H29" s="4">
        <v>0</v>
      </c>
      <c r="I29" s="12">
        <f t="shared" si="0"/>
        <v>10</v>
      </c>
      <c r="J29" s="14"/>
      <c r="K29" s="43">
        <f>J29*(G29+H29)</f>
        <v>0</v>
      </c>
      <c r="L29" s="8"/>
      <c r="M29" s="6"/>
      <c r="N29" s="10"/>
      <c r="O29" s="18"/>
      <c r="P29" s="32"/>
      <c r="Q29" s="33"/>
      <c r="R29" s="34"/>
    </row>
    <row r="30" spans="1:18" x14ac:dyDescent="0.25">
      <c r="A30" s="24" t="s">
        <v>9</v>
      </c>
      <c r="B30" s="20" t="s">
        <v>87</v>
      </c>
      <c r="C30" s="55"/>
      <c r="D30" s="4" t="s">
        <v>83</v>
      </c>
      <c r="E30" s="42" t="s">
        <v>88</v>
      </c>
      <c r="F30" s="25" t="s">
        <v>66</v>
      </c>
      <c r="G30" s="4">
        <v>29</v>
      </c>
      <c r="H30" s="4">
        <v>1</v>
      </c>
      <c r="I30" s="12">
        <f t="shared" si="0"/>
        <v>30</v>
      </c>
      <c r="J30" s="14"/>
      <c r="K30" s="43">
        <f>J30*(G30+H30)</f>
        <v>0</v>
      </c>
      <c r="L30" s="8"/>
      <c r="M30" s="6"/>
      <c r="N30" s="10"/>
      <c r="O30" s="18"/>
      <c r="P30" s="32"/>
      <c r="Q30" s="33"/>
      <c r="R30" s="34"/>
    </row>
    <row r="31" spans="1:18" x14ac:dyDescent="0.25">
      <c r="A31" s="24" t="s">
        <v>9</v>
      </c>
      <c r="B31" s="20" t="s">
        <v>89</v>
      </c>
      <c r="C31" s="55"/>
      <c r="D31" s="4" t="s">
        <v>83</v>
      </c>
      <c r="E31" s="42" t="s">
        <v>90</v>
      </c>
      <c r="F31" s="25" t="s">
        <v>36</v>
      </c>
      <c r="G31" s="4">
        <v>58</v>
      </c>
      <c r="H31" s="4">
        <v>3</v>
      </c>
      <c r="I31" s="12">
        <f t="shared" si="0"/>
        <v>61</v>
      </c>
      <c r="J31" s="14"/>
      <c r="K31" s="43">
        <f>J31*(G31+H31)</f>
        <v>0</v>
      </c>
      <c r="L31" s="8"/>
      <c r="M31" s="6"/>
      <c r="N31" s="10"/>
      <c r="O31" s="18"/>
      <c r="P31" s="32"/>
      <c r="Q31" s="33"/>
      <c r="R31" s="34"/>
    </row>
    <row r="32" spans="1:18" x14ac:dyDescent="0.25">
      <c r="A32" s="24" t="s">
        <v>9</v>
      </c>
      <c r="B32" s="20" t="s">
        <v>91</v>
      </c>
      <c r="C32" s="55"/>
      <c r="D32" s="4" t="s">
        <v>83</v>
      </c>
      <c r="E32" s="42" t="s">
        <v>92</v>
      </c>
      <c r="F32" s="25" t="s">
        <v>66</v>
      </c>
      <c r="G32" s="4">
        <v>29</v>
      </c>
      <c r="H32" s="4">
        <v>3</v>
      </c>
      <c r="I32" s="12">
        <f t="shared" si="0"/>
        <v>32</v>
      </c>
      <c r="J32" s="14"/>
      <c r="K32" s="43">
        <f>J32*(G32+H32)</f>
        <v>0</v>
      </c>
      <c r="L32" s="8"/>
      <c r="M32" s="6"/>
      <c r="N32" s="10"/>
      <c r="O32" s="18"/>
      <c r="P32" s="32"/>
      <c r="Q32" s="33"/>
      <c r="R32" s="34"/>
    </row>
    <row r="33" spans="1:18" x14ac:dyDescent="0.25">
      <c r="A33" s="24" t="s">
        <v>9</v>
      </c>
      <c r="B33" s="20" t="s">
        <v>93</v>
      </c>
      <c r="C33" s="55"/>
      <c r="D33" s="4" t="s">
        <v>83</v>
      </c>
      <c r="E33" s="42" t="s">
        <v>94</v>
      </c>
      <c r="F33" s="25" t="s">
        <v>66</v>
      </c>
      <c r="G33" s="4">
        <v>29</v>
      </c>
      <c r="H33" s="4">
        <v>3</v>
      </c>
      <c r="I33" s="12">
        <f t="shared" si="0"/>
        <v>32</v>
      </c>
      <c r="J33" s="14"/>
      <c r="K33" s="43">
        <f>J33*(G33+H33)</f>
        <v>0</v>
      </c>
      <c r="L33" s="8"/>
      <c r="M33" s="6"/>
      <c r="N33" s="10"/>
      <c r="O33" s="18"/>
      <c r="P33" s="32"/>
      <c r="Q33" s="33"/>
      <c r="R33" s="34"/>
    </row>
    <row r="34" spans="1:18" x14ac:dyDescent="0.25">
      <c r="A34" s="24" t="s">
        <v>9</v>
      </c>
      <c r="B34" s="20" t="s">
        <v>95</v>
      </c>
      <c r="C34" s="55"/>
      <c r="D34" s="4" t="s">
        <v>83</v>
      </c>
      <c r="E34" s="42" t="s">
        <v>96</v>
      </c>
      <c r="F34" s="25" t="s">
        <v>66</v>
      </c>
      <c r="G34" s="4">
        <v>29</v>
      </c>
      <c r="H34" s="4">
        <v>3</v>
      </c>
      <c r="I34" s="12">
        <f t="shared" si="0"/>
        <v>32</v>
      </c>
      <c r="J34" s="14"/>
      <c r="K34" s="43">
        <f>J34*(G34+H34)</f>
        <v>0</v>
      </c>
      <c r="L34" s="8"/>
      <c r="M34" s="6"/>
      <c r="N34" s="10"/>
      <c r="O34" s="18"/>
      <c r="P34" s="32"/>
      <c r="Q34" s="33"/>
      <c r="R34" s="34"/>
    </row>
    <row r="35" spans="1:18" x14ac:dyDescent="0.25">
      <c r="A35" s="24" t="s">
        <v>9</v>
      </c>
      <c r="B35" s="20" t="s">
        <v>97</v>
      </c>
      <c r="C35" s="55"/>
      <c r="D35" s="4" t="s">
        <v>99</v>
      </c>
      <c r="E35" s="42" t="s">
        <v>98</v>
      </c>
      <c r="F35" s="25" t="s">
        <v>66</v>
      </c>
      <c r="G35" s="4">
        <v>29</v>
      </c>
      <c r="H35" s="4">
        <v>5</v>
      </c>
      <c r="I35" s="12">
        <f t="shared" si="0"/>
        <v>34</v>
      </c>
      <c r="J35" s="14"/>
      <c r="K35" s="43">
        <f>J35*(G35+H35)</f>
        <v>0</v>
      </c>
      <c r="L35" s="8"/>
      <c r="M35" s="6"/>
      <c r="N35" s="10"/>
      <c r="O35" s="18"/>
      <c r="P35" s="32"/>
      <c r="Q35" s="33"/>
      <c r="R35" s="34"/>
    </row>
    <row r="36" spans="1:18" x14ac:dyDescent="0.25">
      <c r="A36" s="24" t="s">
        <v>9</v>
      </c>
      <c r="B36" s="20" t="s">
        <v>100</v>
      </c>
      <c r="C36" s="55"/>
      <c r="D36" s="4" t="s">
        <v>99</v>
      </c>
      <c r="E36" s="42" t="s">
        <v>101</v>
      </c>
      <c r="F36" s="25" t="s">
        <v>36</v>
      </c>
      <c r="G36" s="4">
        <v>58</v>
      </c>
      <c r="H36" s="4">
        <v>5</v>
      </c>
      <c r="I36" s="12">
        <f t="shared" si="0"/>
        <v>63</v>
      </c>
      <c r="J36" s="14"/>
      <c r="K36" s="43">
        <f>J36*(G36+H36)</f>
        <v>0</v>
      </c>
      <c r="L36" s="8"/>
      <c r="M36" s="6"/>
      <c r="N36" s="10"/>
      <c r="O36" s="18"/>
      <c r="P36" s="32"/>
      <c r="Q36" s="33"/>
      <c r="R36" s="34"/>
    </row>
    <row r="37" spans="1:18" x14ac:dyDescent="0.25">
      <c r="A37" s="24" t="s">
        <v>9</v>
      </c>
      <c r="B37" s="20" t="s">
        <v>102</v>
      </c>
      <c r="C37" s="55"/>
      <c r="D37" s="4" t="s">
        <v>104</v>
      </c>
      <c r="E37" s="42" t="s">
        <v>103</v>
      </c>
      <c r="F37" s="25" t="s">
        <v>105</v>
      </c>
      <c r="G37" s="4">
        <v>47</v>
      </c>
      <c r="H37" s="4">
        <v>0</v>
      </c>
      <c r="I37" s="12">
        <f t="shared" si="0"/>
        <v>47</v>
      </c>
      <c r="J37" s="14"/>
      <c r="K37" s="43">
        <f>J37*(G37+H37)</f>
        <v>0</v>
      </c>
      <c r="L37" s="8"/>
      <c r="M37" s="6"/>
      <c r="N37" s="10"/>
      <c r="O37" s="18"/>
      <c r="P37" s="32"/>
      <c r="Q37" s="33"/>
      <c r="R37" s="34"/>
    </row>
    <row r="38" spans="1:18" x14ac:dyDescent="0.25">
      <c r="A38" s="24" t="s">
        <v>9</v>
      </c>
      <c r="B38" s="20" t="s">
        <v>106</v>
      </c>
      <c r="C38" s="55"/>
      <c r="D38" s="4" t="s">
        <v>104</v>
      </c>
      <c r="E38" s="42" t="s">
        <v>107</v>
      </c>
      <c r="F38" s="25" t="s">
        <v>105</v>
      </c>
      <c r="G38" s="4">
        <v>47</v>
      </c>
      <c r="H38" s="4">
        <v>0</v>
      </c>
      <c r="I38" s="12">
        <f t="shared" si="0"/>
        <v>47</v>
      </c>
      <c r="J38" s="14"/>
      <c r="K38" s="43">
        <f>J38*(G38+H38)</f>
        <v>0</v>
      </c>
      <c r="L38" s="8"/>
      <c r="M38" s="6"/>
      <c r="N38" s="10"/>
      <c r="O38" s="18"/>
      <c r="P38" s="32"/>
      <c r="Q38" s="33"/>
      <c r="R38" s="34"/>
    </row>
    <row r="39" spans="1:18" x14ac:dyDescent="0.25">
      <c r="A39" s="24" t="s">
        <v>9</v>
      </c>
      <c r="B39" s="20" t="s">
        <v>108</v>
      </c>
      <c r="C39" s="55"/>
      <c r="D39" s="4" t="s">
        <v>110</v>
      </c>
      <c r="E39" s="42" t="s">
        <v>109</v>
      </c>
      <c r="F39" s="25" t="s">
        <v>111</v>
      </c>
      <c r="G39" s="4">
        <v>19</v>
      </c>
      <c r="H39" s="4">
        <v>0</v>
      </c>
      <c r="I39" s="12">
        <f t="shared" si="0"/>
        <v>19</v>
      </c>
      <c r="J39" s="14"/>
      <c r="K39" s="43">
        <f>J39*(G39+H39)</f>
        <v>0</v>
      </c>
      <c r="L39" s="8"/>
      <c r="M39" s="6"/>
      <c r="N39" s="10"/>
      <c r="O39" s="18"/>
      <c r="P39" s="32"/>
      <c r="Q39" s="33"/>
      <c r="R39" s="34"/>
    </row>
    <row r="40" spans="1:18" x14ac:dyDescent="0.25">
      <c r="A40" s="24" t="s">
        <v>9</v>
      </c>
      <c r="B40" s="20" t="s">
        <v>112</v>
      </c>
      <c r="C40" s="55"/>
      <c r="D40" s="4" t="s">
        <v>114</v>
      </c>
      <c r="E40" s="42" t="s">
        <v>113</v>
      </c>
      <c r="F40" s="25" t="s">
        <v>66</v>
      </c>
      <c r="G40" s="4">
        <v>29</v>
      </c>
      <c r="H40" s="4">
        <v>0</v>
      </c>
      <c r="I40" s="12">
        <f t="shared" si="0"/>
        <v>29</v>
      </c>
      <c r="J40" s="14"/>
      <c r="K40" s="43">
        <f>J40*(G40+H40)</f>
        <v>0</v>
      </c>
      <c r="L40" s="8"/>
      <c r="M40" s="6"/>
      <c r="N40" s="10"/>
      <c r="O40" s="18"/>
      <c r="P40" s="32"/>
      <c r="Q40" s="33"/>
      <c r="R40" s="34"/>
    </row>
    <row r="41" spans="1:18" x14ac:dyDescent="0.25">
      <c r="A41" s="24" t="s">
        <v>9</v>
      </c>
      <c r="B41" s="20" t="s">
        <v>115</v>
      </c>
      <c r="C41" s="55"/>
      <c r="D41" s="4" t="s">
        <v>114</v>
      </c>
      <c r="E41" s="42" t="s">
        <v>116</v>
      </c>
      <c r="F41" s="25" t="s">
        <v>36</v>
      </c>
      <c r="G41" s="4">
        <v>29</v>
      </c>
      <c r="H41" s="4">
        <v>6</v>
      </c>
      <c r="I41" s="12">
        <f t="shared" si="0"/>
        <v>35</v>
      </c>
      <c r="J41" s="14"/>
      <c r="K41" s="43">
        <f>J41*(G41+H41)</f>
        <v>0</v>
      </c>
      <c r="L41" s="8"/>
      <c r="M41" s="6"/>
      <c r="N41" s="10"/>
      <c r="O41" s="18"/>
      <c r="P41" s="32"/>
      <c r="Q41" s="33"/>
      <c r="R41" s="34"/>
    </row>
    <row r="42" spans="1:18" x14ac:dyDescent="0.25">
      <c r="A42" s="24" t="s">
        <v>9</v>
      </c>
      <c r="B42" s="20" t="s">
        <v>117</v>
      </c>
      <c r="C42" s="55"/>
      <c r="D42" s="4" t="s">
        <v>119</v>
      </c>
      <c r="E42" s="42" t="s">
        <v>118</v>
      </c>
      <c r="F42" s="25" t="s">
        <v>120</v>
      </c>
      <c r="G42" s="4">
        <v>29</v>
      </c>
      <c r="H42" s="4">
        <v>6</v>
      </c>
      <c r="I42" s="12">
        <f t="shared" si="0"/>
        <v>35</v>
      </c>
      <c r="J42" s="14"/>
      <c r="K42" s="43">
        <f>J42*(G42+H42)</f>
        <v>0</v>
      </c>
      <c r="L42" s="8"/>
      <c r="M42" s="6"/>
      <c r="N42" s="10"/>
      <c r="O42" s="18"/>
      <c r="P42" s="32"/>
      <c r="Q42" s="33"/>
      <c r="R42" s="34"/>
    </row>
    <row r="43" spans="1:18" x14ac:dyDescent="0.25">
      <c r="A43" s="24" t="s">
        <v>9</v>
      </c>
      <c r="B43" s="20" t="s">
        <v>121</v>
      </c>
      <c r="C43" s="55" t="s">
        <v>122</v>
      </c>
      <c r="D43" s="4" t="s">
        <v>124</v>
      </c>
      <c r="E43" s="42" t="s">
        <v>123</v>
      </c>
      <c r="F43" s="25" t="s">
        <v>125</v>
      </c>
      <c r="G43" s="4">
        <v>28</v>
      </c>
      <c r="H43" s="4">
        <v>0</v>
      </c>
      <c r="I43" s="12">
        <f t="shared" si="0"/>
        <v>28</v>
      </c>
      <c r="J43" s="14"/>
      <c r="K43" s="43">
        <f>J43*(G43+H43)</f>
        <v>0</v>
      </c>
      <c r="L43" s="8"/>
      <c r="M43" s="6"/>
      <c r="N43" s="10"/>
      <c r="O43" s="18"/>
      <c r="P43" s="32"/>
      <c r="Q43" s="33"/>
      <c r="R43" s="34"/>
    </row>
    <row r="44" spans="1:18" x14ac:dyDescent="0.25">
      <c r="A44" s="24" t="s">
        <v>9</v>
      </c>
      <c r="B44" s="20" t="s">
        <v>126</v>
      </c>
      <c r="C44" s="55" t="s">
        <v>122</v>
      </c>
      <c r="D44" s="4" t="s">
        <v>124</v>
      </c>
      <c r="E44" s="42" t="s">
        <v>127</v>
      </c>
      <c r="F44" s="25" t="s">
        <v>125</v>
      </c>
      <c r="G44" s="4">
        <v>28</v>
      </c>
      <c r="H44" s="4">
        <v>0</v>
      </c>
      <c r="I44" s="12">
        <f t="shared" si="0"/>
        <v>28</v>
      </c>
      <c r="J44" s="14"/>
      <c r="K44" s="43">
        <f>J44*(G44+H44)</f>
        <v>0</v>
      </c>
      <c r="L44" s="8"/>
      <c r="M44" s="6"/>
      <c r="N44" s="10"/>
      <c r="O44" s="18"/>
      <c r="P44" s="32"/>
      <c r="Q44" s="33"/>
      <c r="R44" s="34"/>
    </row>
    <row r="45" spans="1:18" x14ac:dyDescent="0.25">
      <c r="A45" s="24" t="s">
        <v>9</v>
      </c>
      <c r="B45" s="20" t="s">
        <v>128</v>
      </c>
      <c r="C45" s="55" t="s">
        <v>122</v>
      </c>
      <c r="D45" s="4" t="s">
        <v>124</v>
      </c>
      <c r="E45" s="42" t="s">
        <v>129</v>
      </c>
      <c r="F45" s="25" t="s">
        <v>125</v>
      </c>
      <c r="G45" s="4">
        <v>28</v>
      </c>
      <c r="H45" s="4">
        <v>0</v>
      </c>
      <c r="I45" s="12">
        <f t="shared" si="0"/>
        <v>28</v>
      </c>
      <c r="J45" s="14"/>
      <c r="K45" s="43">
        <f>J45*(G45+H45)</f>
        <v>0</v>
      </c>
      <c r="L45" s="8"/>
      <c r="M45" s="6"/>
      <c r="N45" s="10"/>
      <c r="O45" s="18"/>
      <c r="P45" s="32"/>
      <c r="Q45" s="33"/>
      <c r="R45" s="34"/>
    </row>
    <row r="46" spans="1:18" x14ac:dyDescent="0.25">
      <c r="A46" s="24" t="s">
        <v>9</v>
      </c>
      <c r="B46" s="20" t="s">
        <v>130</v>
      </c>
      <c r="C46" s="55" t="s">
        <v>122</v>
      </c>
      <c r="D46" s="4" t="s">
        <v>124</v>
      </c>
      <c r="E46" s="42" t="s">
        <v>131</v>
      </c>
      <c r="F46" s="25" t="s">
        <v>125</v>
      </c>
      <c r="G46" s="4">
        <v>28</v>
      </c>
      <c r="H46" s="4">
        <v>0</v>
      </c>
      <c r="I46" s="12">
        <f t="shared" si="0"/>
        <v>28</v>
      </c>
      <c r="J46" s="14"/>
      <c r="K46" s="43">
        <f>J46*(G46+H46)</f>
        <v>0</v>
      </c>
      <c r="L46" s="8"/>
      <c r="M46" s="6"/>
      <c r="N46" s="10"/>
      <c r="O46" s="18"/>
      <c r="P46" s="32"/>
      <c r="Q46" s="33"/>
      <c r="R46" s="34"/>
    </row>
    <row r="47" spans="1:18" x14ac:dyDescent="0.25">
      <c r="A47" s="24" t="s">
        <v>9</v>
      </c>
      <c r="B47" s="20" t="s">
        <v>132</v>
      </c>
      <c r="C47" s="55" t="s">
        <v>122</v>
      </c>
      <c r="D47" s="4" t="s">
        <v>124</v>
      </c>
      <c r="E47" s="42" t="s">
        <v>133</v>
      </c>
      <c r="F47" s="25" t="s">
        <v>125</v>
      </c>
      <c r="G47" s="4">
        <v>28</v>
      </c>
      <c r="H47" s="4">
        <v>0</v>
      </c>
      <c r="I47" s="12">
        <f t="shared" si="0"/>
        <v>28</v>
      </c>
      <c r="J47" s="14"/>
      <c r="K47" s="43">
        <f>J47*(G47+H47)</f>
        <v>0</v>
      </c>
      <c r="L47" s="8"/>
      <c r="M47" s="6"/>
      <c r="N47" s="10"/>
      <c r="O47" s="18"/>
      <c r="P47" s="32"/>
      <c r="Q47" s="33"/>
      <c r="R47" s="34"/>
    </row>
    <row r="48" spans="1:18" x14ac:dyDescent="0.25">
      <c r="A48" s="24" t="s">
        <v>9</v>
      </c>
      <c r="B48" s="20" t="s">
        <v>134</v>
      </c>
      <c r="C48" s="55" t="s">
        <v>122</v>
      </c>
      <c r="D48" s="4" t="s">
        <v>124</v>
      </c>
      <c r="E48" s="42" t="s">
        <v>135</v>
      </c>
      <c r="F48" s="25" t="s">
        <v>136</v>
      </c>
      <c r="G48" s="4">
        <v>12</v>
      </c>
      <c r="H48" s="4">
        <v>0</v>
      </c>
      <c r="I48" s="12">
        <f t="shared" si="0"/>
        <v>12</v>
      </c>
      <c r="J48" s="14"/>
      <c r="K48" s="43">
        <f>J48*(G48+H48)</f>
        <v>0</v>
      </c>
      <c r="L48" s="8"/>
      <c r="M48" s="6"/>
      <c r="N48" s="10"/>
      <c r="O48" s="18"/>
      <c r="P48" s="32"/>
      <c r="Q48" s="33"/>
      <c r="R48" s="34"/>
    </row>
    <row r="49" spans="1:18" x14ac:dyDescent="0.25">
      <c r="A49" s="24" t="s">
        <v>9</v>
      </c>
      <c r="B49" s="20" t="s">
        <v>137</v>
      </c>
      <c r="C49" s="55" t="s">
        <v>122</v>
      </c>
      <c r="D49" s="4" t="s">
        <v>124</v>
      </c>
      <c r="E49" s="42" t="s">
        <v>138</v>
      </c>
      <c r="F49" s="25" t="s">
        <v>136</v>
      </c>
      <c r="G49" s="4">
        <v>12</v>
      </c>
      <c r="H49" s="4">
        <v>0</v>
      </c>
      <c r="I49" s="12">
        <f t="shared" si="0"/>
        <v>12</v>
      </c>
      <c r="J49" s="14"/>
      <c r="K49" s="43">
        <f>J49*(G49+H49)</f>
        <v>0</v>
      </c>
      <c r="L49" s="8"/>
      <c r="M49" s="6"/>
      <c r="N49" s="10"/>
      <c r="O49" s="18"/>
      <c r="P49" s="32"/>
      <c r="Q49" s="33"/>
      <c r="R49" s="34"/>
    </row>
    <row r="50" spans="1:18" x14ac:dyDescent="0.25">
      <c r="A50" s="24" t="s">
        <v>9</v>
      </c>
      <c r="B50" s="20" t="s">
        <v>139</v>
      </c>
      <c r="C50" s="55" t="s">
        <v>122</v>
      </c>
      <c r="D50" s="4" t="s">
        <v>124</v>
      </c>
      <c r="E50" s="42" t="s">
        <v>140</v>
      </c>
      <c r="F50" s="25" t="s">
        <v>136</v>
      </c>
      <c r="G50" s="4">
        <v>3</v>
      </c>
      <c r="H50" s="4">
        <v>0</v>
      </c>
      <c r="I50" s="12">
        <f t="shared" si="0"/>
        <v>3</v>
      </c>
      <c r="J50" s="14"/>
      <c r="K50" s="43">
        <f>J50*(G50+H50)</f>
        <v>0</v>
      </c>
      <c r="L50" s="8"/>
      <c r="M50" s="6"/>
      <c r="N50" s="10"/>
      <c r="O50" s="18"/>
      <c r="P50" s="32"/>
      <c r="Q50" s="33"/>
      <c r="R50" s="34"/>
    </row>
    <row r="51" spans="1:18" x14ac:dyDescent="0.25">
      <c r="A51" s="24" t="s">
        <v>9</v>
      </c>
      <c r="B51" s="20" t="s">
        <v>141</v>
      </c>
      <c r="C51" s="55" t="s">
        <v>122</v>
      </c>
      <c r="D51" s="4" t="s">
        <v>124</v>
      </c>
      <c r="E51" s="42" t="s">
        <v>142</v>
      </c>
      <c r="F51" s="25" t="s">
        <v>136</v>
      </c>
      <c r="G51" s="4">
        <v>12</v>
      </c>
      <c r="H51" s="4">
        <v>0</v>
      </c>
      <c r="I51" s="12">
        <f t="shared" si="0"/>
        <v>12</v>
      </c>
      <c r="J51" s="14"/>
      <c r="K51" s="43">
        <f>J51*(G51+H51)</f>
        <v>0</v>
      </c>
      <c r="L51" s="8"/>
      <c r="M51" s="6"/>
      <c r="N51" s="10"/>
      <c r="O51" s="18"/>
      <c r="P51" s="32"/>
      <c r="Q51" s="33"/>
      <c r="R51" s="34"/>
    </row>
    <row r="52" spans="1:18" x14ac:dyDescent="0.25">
      <c r="A52" s="24" t="s">
        <v>9</v>
      </c>
      <c r="B52" s="20" t="s">
        <v>143</v>
      </c>
      <c r="C52" s="55" t="s">
        <v>122</v>
      </c>
      <c r="D52" s="4" t="s">
        <v>124</v>
      </c>
      <c r="E52" s="42" t="s">
        <v>144</v>
      </c>
      <c r="F52" s="25" t="s">
        <v>136</v>
      </c>
      <c r="G52" s="4">
        <v>12</v>
      </c>
      <c r="H52" s="4">
        <v>0</v>
      </c>
      <c r="I52" s="12">
        <f t="shared" si="0"/>
        <v>12</v>
      </c>
      <c r="J52" s="14"/>
      <c r="K52" s="43">
        <f>J52*(G52+H52)</f>
        <v>0</v>
      </c>
      <c r="L52" s="8"/>
      <c r="M52" s="6"/>
      <c r="N52" s="10"/>
      <c r="O52" s="18"/>
      <c r="P52" s="32"/>
      <c r="Q52" s="33"/>
      <c r="R52" s="34"/>
    </row>
    <row r="53" spans="1:18" x14ac:dyDescent="0.25">
      <c r="A53" s="24" t="s">
        <v>9</v>
      </c>
      <c r="B53" s="20" t="s">
        <v>145</v>
      </c>
      <c r="C53" s="55" t="s">
        <v>122</v>
      </c>
      <c r="D53" s="4" t="s">
        <v>124</v>
      </c>
      <c r="E53" s="42" t="s">
        <v>146</v>
      </c>
      <c r="F53" s="25" t="s">
        <v>136</v>
      </c>
      <c r="G53" s="4">
        <v>12</v>
      </c>
      <c r="H53" s="4">
        <v>0</v>
      </c>
      <c r="I53" s="12">
        <f t="shared" si="0"/>
        <v>12</v>
      </c>
      <c r="J53" s="14"/>
      <c r="K53" s="43">
        <f>J53*(G53+H53)</f>
        <v>0</v>
      </c>
      <c r="L53" s="8"/>
      <c r="M53" s="6"/>
      <c r="N53" s="10"/>
      <c r="O53" s="18"/>
      <c r="P53" s="32"/>
      <c r="Q53" s="33"/>
      <c r="R53" s="34"/>
    </row>
    <row r="54" spans="1:18" x14ac:dyDescent="0.25">
      <c r="A54" s="24" t="s">
        <v>9</v>
      </c>
      <c r="B54" s="20" t="s">
        <v>147</v>
      </c>
      <c r="C54" s="55" t="s">
        <v>122</v>
      </c>
      <c r="D54" s="4" t="s">
        <v>124</v>
      </c>
      <c r="E54" s="42" t="s">
        <v>148</v>
      </c>
      <c r="F54" s="25" t="s">
        <v>136</v>
      </c>
      <c r="G54" s="4">
        <v>12</v>
      </c>
      <c r="H54" s="4">
        <v>0</v>
      </c>
      <c r="I54" s="12">
        <f t="shared" si="0"/>
        <v>12</v>
      </c>
      <c r="J54" s="14"/>
      <c r="K54" s="43">
        <f>J54*(G54+H54)</f>
        <v>0</v>
      </c>
      <c r="L54" s="8"/>
      <c r="M54" s="6"/>
      <c r="N54" s="10"/>
      <c r="O54" s="18"/>
      <c r="P54" s="32"/>
      <c r="Q54" s="33"/>
      <c r="R54" s="34"/>
    </row>
    <row r="55" spans="1:18" x14ac:dyDescent="0.25">
      <c r="A55" s="24" t="s">
        <v>9</v>
      </c>
      <c r="B55" s="20" t="s">
        <v>149</v>
      </c>
      <c r="C55" s="55" t="s">
        <v>122</v>
      </c>
      <c r="D55" s="4" t="s">
        <v>124</v>
      </c>
      <c r="E55" s="42" t="s">
        <v>150</v>
      </c>
      <c r="F55" s="25" t="s">
        <v>151</v>
      </c>
      <c r="G55" s="4">
        <v>4</v>
      </c>
      <c r="H55" s="4">
        <v>0</v>
      </c>
      <c r="I55" s="12">
        <f t="shared" si="0"/>
        <v>4</v>
      </c>
      <c r="J55" s="14"/>
      <c r="K55" s="43">
        <f>J55*(G55+H55)</f>
        <v>0</v>
      </c>
      <c r="L55" s="8"/>
      <c r="M55" s="6"/>
      <c r="N55" s="10"/>
      <c r="O55" s="18"/>
      <c r="P55" s="32"/>
      <c r="Q55" s="33"/>
      <c r="R55" s="34"/>
    </row>
    <row r="56" spans="1:18" x14ac:dyDescent="0.25">
      <c r="A56" s="24" t="s">
        <v>9</v>
      </c>
      <c r="B56" s="20" t="s">
        <v>152</v>
      </c>
      <c r="C56" s="55" t="s">
        <v>122</v>
      </c>
      <c r="D56" s="4" t="s">
        <v>124</v>
      </c>
      <c r="E56" s="42" t="s">
        <v>153</v>
      </c>
      <c r="F56" s="25" t="s">
        <v>151</v>
      </c>
      <c r="G56" s="4">
        <v>4</v>
      </c>
      <c r="H56" s="4">
        <v>0</v>
      </c>
      <c r="I56" s="12">
        <f t="shared" si="0"/>
        <v>4</v>
      </c>
      <c r="J56" s="14"/>
      <c r="K56" s="43">
        <f>J56*(G56+H56)</f>
        <v>0</v>
      </c>
      <c r="L56" s="8"/>
      <c r="M56" s="6"/>
      <c r="N56" s="10"/>
      <c r="O56" s="18"/>
      <c r="P56" s="32"/>
      <c r="Q56" s="33"/>
      <c r="R56" s="34"/>
    </row>
    <row r="57" spans="1:18" x14ac:dyDescent="0.25">
      <c r="A57" s="24" t="s">
        <v>9</v>
      </c>
      <c r="B57" s="20" t="s">
        <v>154</v>
      </c>
      <c r="C57" s="55" t="s">
        <v>122</v>
      </c>
      <c r="D57" s="4" t="s">
        <v>124</v>
      </c>
      <c r="E57" s="42" t="s">
        <v>155</v>
      </c>
      <c r="F57" s="25" t="s">
        <v>156</v>
      </c>
      <c r="G57" s="4">
        <v>3</v>
      </c>
      <c r="H57" s="4">
        <v>0</v>
      </c>
      <c r="I57" s="12">
        <f t="shared" si="0"/>
        <v>3</v>
      </c>
      <c r="J57" s="14"/>
      <c r="K57" s="43">
        <f>J57*(G57+H57)</f>
        <v>0</v>
      </c>
      <c r="L57" s="8"/>
      <c r="M57" s="6"/>
      <c r="N57" s="10"/>
      <c r="O57" s="18"/>
      <c r="P57" s="32"/>
      <c r="Q57" s="33"/>
      <c r="R57" s="34"/>
    </row>
    <row r="58" spans="1:18" x14ac:dyDescent="0.25">
      <c r="A58" s="24" t="s">
        <v>9</v>
      </c>
      <c r="B58" s="20" t="s">
        <v>157</v>
      </c>
      <c r="C58" s="55" t="s">
        <v>122</v>
      </c>
      <c r="D58" s="4" t="s">
        <v>124</v>
      </c>
      <c r="E58" s="42" t="s">
        <v>158</v>
      </c>
      <c r="F58" s="25" t="s">
        <v>136</v>
      </c>
      <c r="G58" s="4">
        <v>12</v>
      </c>
      <c r="H58" s="4">
        <v>0</v>
      </c>
      <c r="I58" s="12">
        <f t="shared" si="0"/>
        <v>12</v>
      </c>
      <c r="J58" s="14"/>
      <c r="K58" s="43">
        <f>J58*(G58+H58)</f>
        <v>0</v>
      </c>
      <c r="L58" s="8"/>
      <c r="M58" s="6"/>
      <c r="N58" s="10"/>
      <c r="O58" s="18"/>
      <c r="P58" s="32"/>
      <c r="Q58" s="33"/>
      <c r="R58" s="34"/>
    </row>
    <row r="59" spans="1:18" x14ac:dyDescent="0.25">
      <c r="A59" s="24" t="s">
        <v>9</v>
      </c>
      <c r="B59" s="20" t="s">
        <v>159</v>
      </c>
      <c r="C59" s="55" t="s">
        <v>122</v>
      </c>
      <c r="D59" s="4" t="s">
        <v>124</v>
      </c>
      <c r="E59" s="42" t="s">
        <v>160</v>
      </c>
      <c r="F59" s="25" t="s">
        <v>161</v>
      </c>
      <c r="G59" s="4">
        <v>28</v>
      </c>
      <c r="H59" s="4">
        <v>0</v>
      </c>
      <c r="I59" s="12">
        <f t="shared" si="0"/>
        <v>28</v>
      </c>
      <c r="J59" s="14"/>
      <c r="K59" s="43">
        <f>J59*(G59+H59)</f>
        <v>0</v>
      </c>
      <c r="L59" s="8"/>
      <c r="M59" s="6"/>
      <c r="N59" s="10"/>
      <c r="O59" s="18"/>
      <c r="P59" s="32"/>
      <c r="Q59" s="33"/>
      <c r="R59" s="34"/>
    </row>
    <row r="60" spans="1:18" x14ac:dyDescent="0.25">
      <c r="A60" s="24" t="s">
        <v>9</v>
      </c>
      <c r="B60" s="20" t="s">
        <v>162</v>
      </c>
      <c r="C60" s="55" t="s">
        <v>122</v>
      </c>
      <c r="D60" s="4" t="s">
        <v>124</v>
      </c>
      <c r="E60" s="42" t="s">
        <v>163</v>
      </c>
      <c r="F60" s="25" t="s">
        <v>136</v>
      </c>
      <c r="G60" s="4">
        <v>12</v>
      </c>
      <c r="H60" s="4">
        <v>0</v>
      </c>
      <c r="I60" s="12">
        <f t="shared" si="0"/>
        <v>12</v>
      </c>
      <c r="J60" s="14"/>
      <c r="K60" s="43">
        <f>J60*(G60+H60)</f>
        <v>0</v>
      </c>
      <c r="L60" s="8"/>
      <c r="M60" s="6"/>
      <c r="N60" s="10"/>
      <c r="O60" s="18"/>
      <c r="P60" s="32"/>
      <c r="Q60" s="33"/>
      <c r="R60" s="34"/>
    </row>
    <row r="61" spans="1:18" x14ac:dyDescent="0.25">
      <c r="A61" s="24" t="s">
        <v>9</v>
      </c>
      <c r="B61" s="20" t="s">
        <v>164</v>
      </c>
      <c r="C61" s="55" t="s">
        <v>122</v>
      </c>
      <c r="D61" s="4" t="s">
        <v>124</v>
      </c>
      <c r="E61" s="42" t="s">
        <v>165</v>
      </c>
      <c r="F61" s="25" t="s">
        <v>136</v>
      </c>
      <c r="G61" s="4">
        <v>12</v>
      </c>
      <c r="H61" s="4">
        <v>0</v>
      </c>
      <c r="I61" s="12">
        <f t="shared" si="0"/>
        <v>12</v>
      </c>
      <c r="J61" s="14"/>
      <c r="K61" s="43">
        <f>J61*(G61+H61)</f>
        <v>0</v>
      </c>
      <c r="L61" s="8"/>
      <c r="M61" s="6"/>
      <c r="N61" s="10"/>
      <c r="O61" s="18"/>
      <c r="P61" s="32"/>
      <c r="Q61" s="33"/>
      <c r="R61" s="34"/>
    </row>
    <row r="62" spans="1:18" x14ac:dyDescent="0.25">
      <c r="A62" s="24" t="s">
        <v>9</v>
      </c>
      <c r="B62" s="20" t="s">
        <v>166</v>
      </c>
      <c r="C62" s="55" t="s">
        <v>122</v>
      </c>
      <c r="D62" s="4" t="s">
        <v>124</v>
      </c>
      <c r="E62" s="42" t="s">
        <v>167</v>
      </c>
      <c r="F62" s="25" t="s">
        <v>136</v>
      </c>
      <c r="G62" s="4">
        <v>12</v>
      </c>
      <c r="H62" s="4">
        <v>0</v>
      </c>
      <c r="I62" s="12">
        <f t="shared" si="0"/>
        <v>12</v>
      </c>
      <c r="J62" s="14"/>
      <c r="K62" s="43">
        <f>J62*(G62+H62)</f>
        <v>0</v>
      </c>
      <c r="L62" s="8"/>
      <c r="M62" s="6"/>
      <c r="N62" s="10"/>
      <c r="O62" s="18"/>
      <c r="P62" s="32"/>
      <c r="Q62" s="33"/>
      <c r="R62" s="34"/>
    </row>
    <row r="63" spans="1:18" x14ac:dyDescent="0.25">
      <c r="A63" s="24" t="s">
        <v>9</v>
      </c>
      <c r="B63" s="20" t="s">
        <v>168</v>
      </c>
      <c r="C63" s="55" t="s">
        <v>122</v>
      </c>
      <c r="D63" s="4" t="s">
        <v>124</v>
      </c>
      <c r="E63" s="42" t="s">
        <v>169</v>
      </c>
      <c r="F63" s="25" t="s">
        <v>170</v>
      </c>
      <c r="G63" s="4">
        <v>3</v>
      </c>
      <c r="H63" s="4">
        <v>0</v>
      </c>
      <c r="I63" s="12">
        <f t="shared" si="0"/>
        <v>3</v>
      </c>
      <c r="J63" s="14"/>
      <c r="K63" s="43">
        <f>J63*(G63+H63)</f>
        <v>0</v>
      </c>
      <c r="L63" s="8"/>
      <c r="M63" s="6"/>
      <c r="N63" s="10"/>
      <c r="O63" s="18"/>
      <c r="P63" s="32"/>
      <c r="Q63" s="33"/>
      <c r="R63" s="34"/>
    </row>
    <row r="64" spans="1:18" x14ac:dyDescent="0.25">
      <c r="A64" s="24" t="s">
        <v>9</v>
      </c>
      <c r="B64" s="20" t="s">
        <v>171</v>
      </c>
      <c r="C64" s="55" t="s">
        <v>122</v>
      </c>
      <c r="D64" s="4" t="s">
        <v>124</v>
      </c>
      <c r="E64" s="42" t="s">
        <v>172</v>
      </c>
      <c r="F64" s="25" t="s">
        <v>170</v>
      </c>
      <c r="G64" s="4">
        <v>3</v>
      </c>
      <c r="H64" s="4">
        <v>0</v>
      </c>
      <c r="I64" s="12">
        <f t="shared" si="0"/>
        <v>3</v>
      </c>
      <c r="J64" s="14"/>
      <c r="K64" s="43">
        <f>J64*(G64+H64)</f>
        <v>0</v>
      </c>
      <c r="L64" s="8"/>
      <c r="M64" s="6"/>
      <c r="N64" s="10"/>
      <c r="O64" s="18"/>
      <c r="P64" s="32"/>
      <c r="Q64" s="33"/>
      <c r="R64" s="34"/>
    </row>
    <row r="65" spans="1:18" x14ac:dyDescent="0.25">
      <c r="A65" s="24" t="s">
        <v>9</v>
      </c>
      <c r="B65" s="20" t="s">
        <v>173</v>
      </c>
      <c r="C65" s="55" t="s">
        <v>122</v>
      </c>
      <c r="D65" s="4" t="s">
        <v>124</v>
      </c>
      <c r="E65" s="42" t="s">
        <v>174</v>
      </c>
      <c r="F65" s="25" t="s">
        <v>170</v>
      </c>
      <c r="G65" s="4">
        <v>3</v>
      </c>
      <c r="H65" s="4">
        <v>0</v>
      </c>
      <c r="I65" s="12">
        <f t="shared" si="0"/>
        <v>3</v>
      </c>
      <c r="J65" s="14"/>
      <c r="K65" s="43">
        <f>J65*(G65+H65)</f>
        <v>0</v>
      </c>
      <c r="L65" s="8"/>
      <c r="M65" s="6"/>
      <c r="N65" s="10"/>
      <c r="O65" s="18"/>
      <c r="P65" s="32"/>
      <c r="Q65" s="33"/>
      <c r="R65" s="34"/>
    </row>
    <row r="66" spans="1:18" x14ac:dyDescent="0.25">
      <c r="A66" s="24" t="s">
        <v>9</v>
      </c>
      <c r="B66" s="20" t="s">
        <v>175</v>
      </c>
      <c r="C66" s="55" t="s">
        <v>176</v>
      </c>
      <c r="D66" s="4" t="s">
        <v>178</v>
      </c>
      <c r="E66" s="42" t="s">
        <v>177</v>
      </c>
      <c r="F66" s="25" t="s">
        <v>36</v>
      </c>
      <c r="G66" s="4">
        <v>58</v>
      </c>
      <c r="H66" s="4">
        <v>5</v>
      </c>
      <c r="I66" s="12">
        <f t="shared" si="0"/>
        <v>63</v>
      </c>
      <c r="J66" s="14"/>
      <c r="K66" s="43">
        <f>J66*(G66+H66)</f>
        <v>0</v>
      </c>
      <c r="L66" s="8"/>
      <c r="M66" s="6"/>
      <c r="N66" s="10"/>
      <c r="O66" s="18"/>
      <c r="P66" s="32"/>
      <c r="Q66" s="33"/>
      <c r="R66" s="34"/>
    </row>
    <row r="67" spans="1:18" x14ac:dyDescent="0.25">
      <c r="A67" s="24" t="s">
        <v>9</v>
      </c>
      <c r="B67" s="20" t="s">
        <v>179</v>
      </c>
      <c r="C67" s="55" t="s">
        <v>176</v>
      </c>
      <c r="D67" s="4" t="s">
        <v>178</v>
      </c>
      <c r="E67" s="42" t="s">
        <v>180</v>
      </c>
      <c r="F67" s="25" t="s">
        <v>36</v>
      </c>
      <c r="G67" s="4">
        <v>58</v>
      </c>
      <c r="H67" s="4">
        <v>5</v>
      </c>
      <c r="I67" s="12">
        <f t="shared" ref="I67:I130" si="1">G67+H67</f>
        <v>63</v>
      </c>
      <c r="J67" s="14"/>
      <c r="K67" s="43">
        <f>J67*(G67+H67)</f>
        <v>0</v>
      </c>
      <c r="L67" s="8"/>
      <c r="M67" s="6"/>
      <c r="N67" s="10"/>
      <c r="O67" s="18"/>
      <c r="P67" s="32"/>
      <c r="Q67" s="33"/>
      <c r="R67" s="34"/>
    </row>
    <row r="68" spans="1:18" x14ac:dyDescent="0.25">
      <c r="A68" s="24" t="s">
        <v>9</v>
      </c>
      <c r="B68" s="20" t="s">
        <v>181</v>
      </c>
      <c r="C68" s="55" t="s">
        <v>176</v>
      </c>
      <c r="D68" s="4" t="s">
        <v>178</v>
      </c>
      <c r="E68" s="42" t="s">
        <v>182</v>
      </c>
      <c r="F68" s="25" t="s">
        <v>36</v>
      </c>
      <c r="G68" s="4">
        <v>58</v>
      </c>
      <c r="H68" s="4">
        <v>5</v>
      </c>
      <c r="I68" s="12">
        <f t="shared" si="1"/>
        <v>63</v>
      </c>
      <c r="J68" s="14"/>
      <c r="K68" s="43">
        <f>J68*(G68+H68)</f>
        <v>0</v>
      </c>
      <c r="L68" s="8"/>
      <c r="M68" s="6"/>
      <c r="N68" s="10"/>
      <c r="O68" s="18"/>
      <c r="P68" s="32"/>
      <c r="Q68" s="33"/>
      <c r="R68" s="34"/>
    </row>
    <row r="69" spans="1:18" x14ac:dyDescent="0.25">
      <c r="A69" s="24" t="s">
        <v>9</v>
      </c>
      <c r="B69" s="20" t="s">
        <v>183</v>
      </c>
      <c r="C69" s="55" t="s">
        <v>176</v>
      </c>
      <c r="D69" s="4" t="s">
        <v>178</v>
      </c>
      <c r="E69" s="42" t="s">
        <v>184</v>
      </c>
      <c r="F69" s="25" t="s">
        <v>36</v>
      </c>
      <c r="G69" s="4">
        <v>58</v>
      </c>
      <c r="H69" s="4">
        <v>5</v>
      </c>
      <c r="I69" s="12">
        <f t="shared" si="1"/>
        <v>63</v>
      </c>
      <c r="J69" s="14"/>
      <c r="K69" s="43">
        <f>J69*(G69+H69)</f>
        <v>0</v>
      </c>
      <c r="L69" s="8"/>
      <c r="M69" s="6"/>
      <c r="N69" s="10"/>
      <c r="O69" s="18"/>
      <c r="P69" s="32"/>
      <c r="Q69" s="33"/>
      <c r="R69" s="34"/>
    </row>
    <row r="70" spans="1:18" x14ac:dyDescent="0.25">
      <c r="A70" s="24" t="s">
        <v>9</v>
      </c>
      <c r="B70" s="20" t="s">
        <v>185</v>
      </c>
      <c r="C70" s="55" t="s">
        <v>176</v>
      </c>
      <c r="D70" s="4" t="s">
        <v>178</v>
      </c>
      <c r="E70" s="42" t="s">
        <v>186</v>
      </c>
      <c r="F70" s="25" t="s">
        <v>36</v>
      </c>
      <c r="G70" s="4">
        <v>58</v>
      </c>
      <c r="H70" s="4">
        <v>3</v>
      </c>
      <c r="I70" s="12">
        <f t="shared" si="1"/>
        <v>61</v>
      </c>
      <c r="J70" s="14"/>
      <c r="K70" s="43">
        <f>J70*(G70+H70)</f>
        <v>0</v>
      </c>
      <c r="L70" s="8"/>
      <c r="M70" s="6"/>
      <c r="N70" s="10"/>
      <c r="O70" s="18"/>
      <c r="P70" s="32"/>
      <c r="Q70" s="33"/>
      <c r="R70" s="34"/>
    </row>
    <row r="71" spans="1:18" x14ac:dyDescent="0.25">
      <c r="A71" s="24" t="s">
        <v>9</v>
      </c>
      <c r="B71" s="20" t="s">
        <v>187</v>
      </c>
      <c r="C71" s="55" t="s">
        <v>176</v>
      </c>
      <c r="D71" s="4" t="s">
        <v>178</v>
      </c>
      <c r="E71" s="42" t="s">
        <v>188</v>
      </c>
      <c r="F71" s="25" t="s">
        <v>36</v>
      </c>
      <c r="G71" s="4">
        <v>58</v>
      </c>
      <c r="H71" s="4">
        <v>3</v>
      </c>
      <c r="I71" s="12">
        <f t="shared" si="1"/>
        <v>61</v>
      </c>
      <c r="J71" s="14"/>
      <c r="K71" s="43">
        <f>J71*(G71+H71)</f>
        <v>0</v>
      </c>
      <c r="L71" s="8"/>
      <c r="M71" s="6"/>
      <c r="N71" s="10"/>
      <c r="O71" s="18"/>
      <c r="P71" s="32"/>
      <c r="Q71" s="33"/>
      <c r="R71" s="34"/>
    </row>
    <row r="72" spans="1:18" x14ac:dyDescent="0.25">
      <c r="A72" s="24" t="s">
        <v>9</v>
      </c>
      <c r="B72" s="20" t="s">
        <v>189</v>
      </c>
      <c r="C72" s="55" t="s">
        <v>176</v>
      </c>
      <c r="D72" s="4" t="s">
        <v>178</v>
      </c>
      <c r="E72" s="42" t="s">
        <v>190</v>
      </c>
      <c r="F72" s="25" t="s">
        <v>36</v>
      </c>
      <c r="G72" s="4">
        <v>58</v>
      </c>
      <c r="H72" s="4">
        <v>3</v>
      </c>
      <c r="I72" s="12">
        <f t="shared" si="1"/>
        <v>61</v>
      </c>
      <c r="J72" s="14"/>
      <c r="K72" s="43">
        <f>J72*(G72+H72)</f>
        <v>0</v>
      </c>
      <c r="L72" s="8"/>
      <c r="M72" s="6"/>
      <c r="N72" s="10"/>
      <c r="O72" s="18"/>
      <c r="P72" s="32"/>
      <c r="Q72" s="33"/>
      <c r="R72" s="34"/>
    </row>
    <row r="73" spans="1:18" x14ac:dyDescent="0.25">
      <c r="A73" s="24" t="s">
        <v>9</v>
      </c>
      <c r="B73" s="20" t="s">
        <v>191</v>
      </c>
      <c r="C73" s="55" t="s">
        <v>176</v>
      </c>
      <c r="D73" s="4" t="s">
        <v>178</v>
      </c>
      <c r="E73" s="42" t="s">
        <v>192</v>
      </c>
      <c r="F73" s="25" t="s">
        <v>36</v>
      </c>
      <c r="G73" s="4">
        <v>58</v>
      </c>
      <c r="H73" s="4">
        <v>3</v>
      </c>
      <c r="I73" s="12">
        <f t="shared" si="1"/>
        <v>61</v>
      </c>
      <c r="J73" s="14"/>
      <c r="K73" s="43">
        <f>J73*(G73+H73)</f>
        <v>0</v>
      </c>
      <c r="L73" s="8"/>
      <c r="M73" s="6"/>
      <c r="N73" s="10"/>
      <c r="O73" s="18"/>
      <c r="P73" s="32"/>
      <c r="Q73" s="33"/>
      <c r="R73" s="34"/>
    </row>
    <row r="74" spans="1:18" x14ac:dyDescent="0.25">
      <c r="A74" s="24" t="s">
        <v>9</v>
      </c>
      <c r="B74" s="20" t="s">
        <v>193</v>
      </c>
      <c r="C74" s="55" t="s">
        <v>176</v>
      </c>
      <c r="D74" s="4" t="s">
        <v>178</v>
      </c>
      <c r="E74" s="42" t="s">
        <v>194</v>
      </c>
      <c r="F74" s="25" t="s">
        <v>36</v>
      </c>
      <c r="G74" s="4">
        <v>58</v>
      </c>
      <c r="H74" s="4">
        <v>3</v>
      </c>
      <c r="I74" s="12">
        <f t="shared" si="1"/>
        <v>61</v>
      </c>
      <c r="J74" s="14"/>
      <c r="K74" s="43">
        <f>J74*(G74+H74)</f>
        <v>0</v>
      </c>
      <c r="L74" s="8"/>
      <c r="M74" s="6"/>
      <c r="N74" s="10"/>
      <c r="O74" s="18"/>
      <c r="P74" s="32"/>
      <c r="Q74" s="33"/>
      <c r="R74" s="34"/>
    </row>
    <row r="75" spans="1:18" x14ac:dyDescent="0.25">
      <c r="A75" s="24" t="s">
        <v>9</v>
      </c>
      <c r="B75" s="20" t="s">
        <v>195</v>
      </c>
      <c r="C75" s="55" t="s">
        <v>176</v>
      </c>
      <c r="D75" s="4" t="s">
        <v>178</v>
      </c>
      <c r="E75" s="42" t="s">
        <v>196</v>
      </c>
      <c r="F75" s="25" t="s">
        <v>36</v>
      </c>
      <c r="G75" s="4">
        <v>58</v>
      </c>
      <c r="H75" s="4">
        <v>3</v>
      </c>
      <c r="I75" s="12">
        <f t="shared" si="1"/>
        <v>61</v>
      </c>
      <c r="J75" s="14"/>
      <c r="K75" s="43">
        <f>J75*(G75+H75)</f>
        <v>0</v>
      </c>
      <c r="L75" s="8"/>
      <c r="M75" s="6"/>
      <c r="N75" s="10"/>
      <c r="O75" s="18"/>
      <c r="P75" s="32"/>
      <c r="Q75" s="33"/>
      <c r="R75" s="34"/>
    </row>
    <row r="76" spans="1:18" x14ac:dyDescent="0.25">
      <c r="A76" s="24" t="s">
        <v>9</v>
      </c>
      <c r="B76" s="20" t="s">
        <v>197</v>
      </c>
      <c r="C76" s="55" t="s">
        <v>176</v>
      </c>
      <c r="D76" s="4" t="s">
        <v>178</v>
      </c>
      <c r="E76" s="42" t="s">
        <v>198</v>
      </c>
      <c r="F76" s="25" t="s">
        <v>36</v>
      </c>
      <c r="G76" s="4">
        <v>58</v>
      </c>
      <c r="H76" s="4">
        <v>3</v>
      </c>
      <c r="I76" s="12">
        <f t="shared" si="1"/>
        <v>61</v>
      </c>
      <c r="J76" s="14"/>
      <c r="K76" s="43">
        <f>J76*(G76+H76)</f>
        <v>0</v>
      </c>
      <c r="L76" s="8"/>
      <c r="M76" s="6"/>
      <c r="N76" s="10"/>
      <c r="O76" s="18"/>
      <c r="P76" s="32"/>
      <c r="Q76" s="33"/>
      <c r="R76" s="34"/>
    </row>
    <row r="77" spans="1:18" x14ac:dyDescent="0.25">
      <c r="A77" s="24" t="s">
        <v>9</v>
      </c>
      <c r="B77" s="20" t="s">
        <v>199</v>
      </c>
      <c r="C77" s="55" t="s">
        <v>176</v>
      </c>
      <c r="D77" s="4" t="s">
        <v>178</v>
      </c>
      <c r="E77" s="42" t="s">
        <v>200</v>
      </c>
      <c r="F77" s="25" t="s">
        <v>36</v>
      </c>
      <c r="G77" s="4">
        <v>58</v>
      </c>
      <c r="H77" s="4">
        <v>3</v>
      </c>
      <c r="I77" s="12">
        <f t="shared" si="1"/>
        <v>61</v>
      </c>
      <c r="J77" s="14"/>
      <c r="K77" s="43">
        <f>J77*(G77+H77)</f>
        <v>0</v>
      </c>
      <c r="L77" s="8"/>
      <c r="M77" s="6"/>
      <c r="N77" s="10"/>
      <c r="O77" s="18"/>
      <c r="P77" s="32"/>
      <c r="Q77" s="33"/>
      <c r="R77" s="34"/>
    </row>
    <row r="78" spans="1:18" x14ac:dyDescent="0.25">
      <c r="A78" s="24" t="s">
        <v>9</v>
      </c>
      <c r="B78" s="20" t="s">
        <v>201</v>
      </c>
      <c r="C78" s="55" t="s">
        <v>176</v>
      </c>
      <c r="D78" s="4" t="s">
        <v>178</v>
      </c>
      <c r="E78" s="42" t="s">
        <v>202</v>
      </c>
      <c r="F78" s="25" t="s">
        <v>36</v>
      </c>
      <c r="G78" s="4">
        <v>58</v>
      </c>
      <c r="H78" s="4">
        <v>1</v>
      </c>
      <c r="I78" s="12">
        <f t="shared" si="1"/>
        <v>59</v>
      </c>
      <c r="J78" s="14"/>
      <c r="K78" s="43">
        <f>J78*(G78+H78)</f>
        <v>0</v>
      </c>
      <c r="L78" s="8"/>
      <c r="M78" s="6"/>
      <c r="N78" s="10"/>
      <c r="O78" s="18"/>
      <c r="P78" s="32"/>
      <c r="Q78" s="33"/>
      <c r="R78" s="34"/>
    </row>
    <row r="79" spans="1:18" x14ac:dyDescent="0.25">
      <c r="A79" s="24" t="s">
        <v>9</v>
      </c>
      <c r="B79" s="20" t="s">
        <v>203</v>
      </c>
      <c r="C79" s="55" t="s">
        <v>176</v>
      </c>
      <c r="D79" s="4" t="s">
        <v>178</v>
      </c>
      <c r="E79" s="42" t="s">
        <v>204</v>
      </c>
      <c r="F79" s="25" t="s">
        <v>36</v>
      </c>
      <c r="G79" s="4">
        <v>58</v>
      </c>
      <c r="H79" s="4">
        <v>1</v>
      </c>
      <c r="I79" s="12">
        <f t="shared" si="1"/>
        <v>59</v>
      </c>
      <c r="J79" s="14"/>
      <c r="K79" s="43">
        <f>J79*(G79+H79)</f>
        <v>0</v>
      </c>
      <c r="L79" s="8"/>
      <c r="M79" s="6"/>
      <c r="N79" s="10"/>
      <c r="O79" s="18"/>
      <c r="P79" s="32"/>
      <c r="Q79" s="33"/>
      <c r="R79" s="34"/>
    </row>
    <row r="80" spans="1:18" x14ac:dyDescent="0.25">
      <c r="A80" s="24" t="s">
        <v>9</v>
      </c>
      <c r="B80" s="20" t="s">
        <v>205</v>
      </c>
      <c r="C80" s="55" t="s">
        <v>176</v>
      </c>
      <c r="D80" s="4" t="s">
        <v>178</v>
      </c>
      <c r="E80" s="42" t="s">
        <v>206</v>
      </c>
      <c r="F80" s="25" t="s">
        <v>36</v>
      </c>
      <c r="G80" s="4">
        <v>58</v>
      </c>
      <c r="H80" s="4">
        <v>1</v>
      </c>
      <c r="I80" s="12">
        <f t="shared" si="1"/>
        <v>59</v>
      </c>
      <c r="J80" s="14"/>
      <c r="K80" s="43">
        <f>J80*(G80+H80)</f>
        <v>0</v>
      </c>
      <c r="L80" s="8"/>
      <c r="M80" s="6"/>
      <c r="N80" s="10"/>
      <c r="O80" s="18"/>
      <c r="P80" s="32"/>
      <c r="Q80" s="33"/>
      <c r="R80" s="34"/>
    </row>
    <row r="81" spans="1:18" x14ac:dyDescent="0.25">
      <c r="A81" s="24" t="s">
        <v>9</v>
      </c>
      <c r="B81" s="20" t="s">
        <v>207</v>
      </c>
      <c r="C81" s="55" t="s">
        <v>176</v>
      </c>
      <c r="D81" s="4" t="s">
        <v>178</v>
      </c>
      <c r="E81" s="42" t="s">
        <v>208</v>
      </c>
      <c r="F81" s="25" t="s">
        <v>36</v>
      </c>
      <c r="G81" s="4">
        <v>58</v>
      </c>
      <c r="H81" s="4">
        <v>1</v>
      </c>
      <c r="I81" s="12">
        <f t="shared" si="1"/>
        <v>59</v>
      </c>
      <c r="J81" s="14"/>
      <c r="K81" s="43">
        <f>J81*(G81+H81)</f>
        <v>0</v>
      </c>
      <c r="L81" s="8"/>
      <c r="M81" s="6"/>
      <c r="N81" s="10"/>
      <c r="O81" s="18"/>
      <c r="P81" s="32"/>
      <c r="Q81" s="33"/>
      <c r="R81" s="34"/>
    </row>
    <row r="82" spans="1:18" x14ac:dyDescent="0.25">
      <c r="A82" s="24" t="s">
        <v>9</v>
      </c>
      <c r="B82" s="20" t="s">
        <v>209</v>
      </c>
      <c r="C82" s="55" t="s">
        <v>176</v>
      </c>
      <c r="D82" s="4" t="s">
        <v>178</v>
      </c>
      <c r="E82" s="42" t="s">
        <v>210</v>
      </c>
      <c r="F82" s="25" t="s">
        <v>211</v>
      </c>
      <c r="G82" s="4">
        <v>14</v>
      </c>
      <c r="H82" s="4">
        <v>1</v>
      </c>
      <c r="I82" s="12">
        <f t="shared" si="1"/>
        <v>15</v>
      </c>
      <c r="J82" s="14"/>
      <c r="K82" s="43">
        <f>J82*(G82+H82)</f>
        <v>0</v>
      </c>
      <c r="L82" s="8"/>
      <c r="M82" s="6"/>
      <c r="N82" s="10"/>
      <c r="O82" s="18"/>
      <c r="P82" s="32"/>
      <c r="Q82" s="33"/>
      <c r="R82" s="34"/>
    </row>
    <row r="83" spans="1:18" x14ac:dyDescent="0.25">
      <c r="A83" s="24" t="s">
        <v>9</v>
      </c>
      <c r="B83" s="20" t="s">
        <v>212</v>
      </c>
      <c r="C83" s="55" t="s">
        <v>213</v>
      </c>
      <c r="D83" s="4" t="s">
        <v>215</v>
      </c>
      <c r="E83" s="42" t="s">
        <v>214</v>
      </c>
      <c r="F83" s="25" t="s">
        <v>36</v>
      </c>
      <c r="G83" s="4">
        <v>58</v>
      </c>
      <c r="H83" s="4">
        <v>1</v>
      </c>
      <c r="I83" s="12">
        <f t="shared" si="1"/>
        <v>59</v>
      </c>
      <c r="J83" s="14"/>
      <c r="K83" s="43">
        <f>J83*(G83+H83)</f>
        <v>0</v>
      </c>
      <c r="L83" s="8"/>
      <c r="M83" s="6"/>
      <c r="N83" s="10"/>
      <c r="O83" s="18"/>
      <c r="P83" s="32"/>
      <c r="Q83" s="33"/>
      <c r="R83" s="34"/>
    </row>
    <row r="84" spans="1:18" x14ac:dyDescent="0.25">
      <c r="A84" s="24" t="s">
        <v>9</v>
      </c>
      <c r="B84" s="20" t="s">
        <v>216</v>
      </c>
      <c r="C84" s="55" t="s">
        <v>217</v>
      </c>
      <c r="D84" s="4" t="s">
        <v>215</v>
      </c>
      <c r="E84" s="42" t="s">
        <v>218</v>
      </c>
      <c r="F84" s="25" t="s">
        <v>36</v>
      </c>
      <c r="G84" s="4">
        <v>58</v>
      </c>
      <c r="H84" s="4">
        <v>5</v>
      </c>
      <c r="I84" s="12">
        <f t="shared" si="1"/>
        <v>63</v>
      </c>
      <c r="J84" s="14"/>
      <c r="K84" s="43">
        <f>J84*(G84+H84)</f>
        <v>0</v>
      </c>
      <c r="L84" s="8"/>
      <c r="M84" s="6"/>
      <c r="N84" s="10"/>
      <c r="O84" s="18"/>
      <c r="P84" s="32"/>
      <c r="Q84" s="33"/>
      <c r="R84" s="34"/>
    </row>
    <row r="85" spans="1:18" x14ac:dyDescent="0.25">
      <c r="A85" s="24" t="s">
        <v>9</v>
      </c>
      <c r="B85" s="20" t="s">
        <v>219</v>
      </c>
      <c r="C85" s="55" t="s">
        <v>217</v>
      </c>
      <c r="D85" s="4" t="s">
        <v>215</v>
      </c>
      <c r="E85" s="42" t="s">
        <v>220</v>
      </c>
      <c r="F85" s="25" t="s">
        <v>36</v>
      </c>
      <c r="G85" s="4">
        <v>58</v>
      </c>
      <c r="H85" s="4">
        <v>5</v>
      </c>
      <c r="I85" s="12">
        <f t="shared" si="1"/>
        <v>63</v>
      </c>
      <c r="J85" s="14"/>
      <c r="K85" s="43">
        <f>J85*(G85+H85)</f>
        <v>0</v>
      </c>
      <c r="L85" s="8"/>
      <c r="M85" s="6"/>
      <c r="N85" s="10"/>
      <c r="O85" s="18"/>
      <c r="P85" s="32"/>
      <c r="Q85" s="33"/>
      <c r="R85" s="34"/>
    </row>
    <row r="86" spans="1:18" x14ac:dyDescent="0.25">
      <c r="A86" s="24" t="s">
        <v>9</v>
      </c>
      <c r="B86" s="20" t="s">
        <v>221</v>
      </c>
      <c r="C86" s="55" t="s">
        <v>217</v>
      </c>
      <c r="D86" s="4" t="s">
        <v>215</v>
      </c>
      <c r="E86" s="42" t="s">
        <v>222</v>
      </c>
      <c r="F86" s="25" t="s">
        <v>36</v>
      </c>
      <c r="G86" s="4">
        <v>58</v>
      </c>
      <c r="H86" s="4">
        <v>5</v>
      </c>
      <c r="I86" s="12">
        <f t="shared" si="1"/>
        <v>63</v>
      </c>
      <c r="J86" s="14"/>
      <c r="K86" s="43">
        <f>J86*(G86+H86)</f>
        <v>0</v>
      </c>
      <c r="L86" s="8"/>
      <c r="M86" s="6"/>
      <c r="N86" s="10"/>
      <c r="O86" s="18"/>
      <c r="P86" s="32"/>
      <c r="Q86" s="33"/>
      <c r="R86" s="34"/>
    </row>
    <row r="87" spans="1:18" x14ac:dyDescent="0.25">
      <c r="A87" s="24" t="s">
        <v>9</v>
      </c>
      <c r="B87" s="20" t="s">
        <v>223</v>
      </c>
      <c r="C87" s="55" t="s">
        <v>217</v>
      </c>
      <c r="D87" s="4" t="s">
        <v>215</v>
      </c>
      <c r="E87" s="42" t="s">
        <v>224</v>
      </c>
      <c r="F87" s="25" t="s">
        <v>36</v>
      </c>
      <c r="G87" s="4">
        <v>58</v>
      </c>
      <c r="H87" s="4">
        <v>5</v>
      </c>
      <c r="I87" s="12">
        <f t="shared" si="1"/>
        <v>63</v>
      </c>
      <c r="J87" s="14"/>
      <c r="K87" s="43">
        <f>J87*(G87+H87)</f>
        <v>0</v>
      </c>
      <c r="L87" s="8"/>
      <c r="M87" s="6"/>
      <c r="N87" s="10"/>
      <c r="O87" s="18"/>
      <c r="P87" s="32"/>
      <c r="Q87" s="33"/>
      <c r="R87" s="34"/>
    </row>
    <row r="88" spans="1:18" x14ac:dyDescent="0.25">
      <c r="A88" s="24" t="s">
        <v>9</v>
      </c>
      <c r="B88" s="20" t="s">
        <v>225</v>
      </c>
      <c r="C88" s="55" t="s">
        <v>217</v>
      </c>
      <c r="D88" s="4" t="s">
        <v>215</v>
      </c>
      <c r="E88" s="42" t="s">
        <v>226</v>
      </c>
      <c r="F88" s="25" t="s">
        <v>36</v>
      </c>
      <c r="G88" s="4">
        <v>58</v>
      </c>
      <c r="H88" s="4">
        <v>5</v>
      </c>
      <c r="I88" s="12">
        <f t="shared" si="1"/>
        <v>63</v>
      </c>
      <c r="J88" s="14"/>
      <c r="K88" s="43">
        <f>J88*(G88+H88)</f>
        <v>0</v>
      </c>
      <c r="L88" s="8"/>
      <c r="M88" s="6"/>
      <c r="N88" s="10"/>
      <c r="O88" s="18"/>
      <c r="P88" s="32"/>
      <c r="Q88" s="33"/>
      <c r="R88" s="34"/>
    </row>
    <row r="89" spans="1:18" x14ac:dyDescent="0.25">
      <c r="A89" s="24" t="s">
        <v>9</v>
      </c>
      <c r="B89" s="20" t="s">
        <v>227</v>
      </c>
      <c r="C89" s="55" t="s">
        <v>217</v>
      </c>
      <c r="D89" s="4" t="s">
        <v>215</v>
      </c>
      <c r="E89" s="42" t="s">
        <v>228</v>
      </c>
      <c r="F89" s="25" t="s">
        <v>36</v>
      </c>
      <c r="G89" s="4">
        <v>58</v>
      </c>
      <c r="H89" s="4">
        <v>5</v>
      </c>
      <c r="I89" s="12">
        <f t="shared" si="1"/>
        <v>63</v>
      </c>
      <c r="J89" s="14"/>
      <c r="K89" s="43">
        <f>J89*(G89+H89)</f>
        <v>0</v>
      </c>
      <c r="L89" s="8"/>
      <c r="M89" s="6"/>
      <c r="N89" s="10"/>
      <c r="O89" s="18"/>
      <c r="P89" s="32"/>
      <c r="Q89" s="33"/>
      <c r="R89" s="34"/>
    </row>
    <row r="90" spans="1:18" x14ac:dyDescent="0.25">
      <c r="A90" s="24" t="s">
        <v>9</v>
      </c>
      <c r="B90" s="20" t="s">
        <v>229</v>
      </c>
      <c r="C90" s="55" t="s">
        <v>217</v>
      </c>
      <c r="D90" s="4" t="s">
        <v>215</v>
      </c>
      <c r="E90" s="42" t="s">
        <v>230</v>
      </c>
      <c r="F90" s="25" t="s">
        <v>36</v>
      </c>
      <c r="G90" s="4">
        <v>58</v>
      </c>
      <c r="H90" s="4">
        <v>5</v>
      </c>
      <c r="I90" s="12">
        <f t="shared" si="1"/>
        <v>63</v>
      </c>
      <c r="J90" s="14"/>
      <c r="K90" s="43">
        <f>J90*(G90+H90)</f>
        <v>0</v>
      </c>
      <c r="L90" s="8"/>
      <c r="M90" s="6"/>
      <c r="N90" s="10"/>
      <c r="O90" s="18"/>
      <c r="P90" s="32"/>
      <c r="Q90" s="33"/>
      <c r="R90" s="34"/>
    </row>
    <row r="91" spans="1:18" x14ac:dyDescent="0.25">
      <c r="A91" s="24" t="s">
        <v>9</v>
      </c>
      <c r="B91" s="20" t="s">
        <v>231</v>
      </c>
      <c r="C91" s="55" t="s">
        <v>217</v>
      </c>
      <c r="D91" s="4" t="s">
        <v>215</v>
      </c>
      <c r="E91" s="42" t="s">
        <v>232</v>
      </c>
      <c r="F91" s="25" t="s">
        <v>36</v>
      </c>
      <c r="G91" s="4">
        <v>58</v>
      </c>
      <c r="H91" s="4">
        <v>3</v>
      </c>
      <c r="I91" s="12">
        <f t="shared" si="1"/>
        <v>61</v>
      </c>
      <c r="J91" s="15"/>
      <c r="K91" s="43">
        <f>J91*(G91+H91)</f>
        <v>0</v>
      </c>
      <c r="L91" s="8"/>
      <c r="M91" s="6"/>
      <c r="N91" s="10"/>
      <c r="O91" s="18"/>
      <c r="P91" s="32"/>
      <c r="Q91" s="33"/>
      <c r="R91" s="34"/>
    </row>
    <row r="92" spans="1:18" x14ac:dyDescent="0.25">
      <c r="A92" s="24" t="s">
        <v>9</v>
      </c>
      <c r="B92" s="20" t="s">
        <v>233</v>
      </c>
      <c r="C92" s="55" t="s">
        <v>217</v>
      </c>
      <c r="D92" s="4" t="s">
        <v>215</v>
      </c>
      <c r="E92" s="42" t="s">
        <v>234</v>
      </c>
      <c r="F92" s="25" t="s">
        <v>36</v>
      </c>
      <c r="G92" s="4">
        <v>58</v>
      </c>
      <c r="H92" s="4">
        <v>3</v>
      </c>
      <c r="I92" s="12">
        <f t="shared" si="1"/>
        <v>61</v>
      </c>
      <c r="J92" s="15"/>
      <c r="K92" s="43">
        <f>J92*(G92+H92)</f>
        <v>0</v>
      </c>
      <c r="L92" s="8"/>
      <c r="M92" s="6"/>
      <c r="N92" s="10"/>
      <c r="O92" s="18"/>
      <c r="P92" s="32"/>
      <c r="Q92" s="33"/>
      <c r="R92" s="34"/>
    </row>
    <row r="93" spans="1:18" x14ac:dyDescent="0.25">
      <c r="A93" s="24" t="s">
        <v>9</v>
      </c>
      <c r="B93" s="20" t="s">
        <v>235</v>
      </c>
      <c r="C93" s="55" t="s">
        <v>217</v>
      </c>
      <c r="D93" s="4" t="s">
        <v>215</v>
      </c>
      <c r="E93" s="42" t="s">
        <v>236</v>
      </c>
      <c r="F93" s="25" t="s">
        <v>36</v>
      </c>
      <c r="G93" s="4">
        <v>58</v>
      </c>
      <c r="H93" s="4">
        <v>3</v>
      </c>
      <c r="I93" s="12">
        <f t="shared" si="1"/>
        <v>61</v>
      </c>
      <c r="J93" s="15"/>
      <c r="K93" s="43">
        <f>J93*(G93+H93)</f>
        <v>0</v>
      </c>
      <c r="L93" s="8"/>
      <c r="M93" s="6"/>
      <c r="N93" s="10"/>
      <c r="O93" s="18"/>
      <c r="P93" s="32"/>
      <c r="Q93" s="33"/>
      <c r="R93" s="34"/>
    </row>
    <row r="94" spans="1:18" x14ac:dyDescent="0.25">
      <c r="A94" s="24" t="s">
        <v>9</v>
      </c>
      <c r="B94" s="20" t="s">
        <v>237</v>
      </c>
      <c r="C94" s="55" t="s">
        <v>217</v>
      </c>
      <c r="D94" s="4" t="s">
        <v>215</v>
      </c>
      <c r="E94" s="42" t="s">
        <v>238</v>
      </c>
      <c r="F94" s="25" t="s">
        <v>36</v>
      </c>
      <c r="G94" s="4">
        <v>58</v>
      </c>
      <c r="H94" s="4">
        <v>3</v>
      </c>
      <c r="I94" s="12">
        <f t="shared" si="1"/>
        <v>61</v>
      </c>
      <c r="J94" s="15"/>
      <c r="K94" s="43">
        <f>J94*(G94+H94)</f>
        <v>0</v>
      </c>
      <c r="L94" s="8"/>
      <c r="M94" s="6"/>
      <c r="N94" s="10"/>
      <c r="O94" s="18"/>
      <c r="P94" s="32"/>
      <c r="Q94" s="33"/>
      <c r="R94" s="34"/>
    </row>
    <row r="95" spans="1:18" x14ac:dyDescent="0.25">
      <c r="A95" s="24" t="s">
        <v>9</v>
      </c>
      <c r="B95" s="20" t="s">
        <v>239</v>
      </c>
      <c r="C95" s="55" t="s">
        <v>217</v>
      </c>
      <c r="D95" s="4" t="s">
        <v>215</v>
      </c>
      <c r="E95" s="42" t="s">
        <v>240</v>
      </c>
      <c r="F95" s="25" t="s">
        <v>36</v>
      </c>
      <c r="G95" s="4">
        <v>58</v>
      </c>
      <c r="H95" s="4">
        <v>3</v>
      </c>
      <c r="I95" s="12">
        <f t="shared" si="1"/>
        <v>61</v>
      </c>
      <c r="J95" s="15"/>
      <c r="K95" s="43">
        <f>J95*(G95+H95)</f>
        <v>0</v>
      </c>
      <c r="L95" s="8"/>
      <c r="M95" s="6"/>
      <c r="N95" s="10"/>
      <c r="O95" s="18"/>
      <c r="P95" s="32"/>
      <c r="Q95" s="33"/>
      <c r="R95" s="34"/>
    </row>
    <row r="96" spans="1:18" x14ac:dyDescent="0.25">
      <c r="A96" s="24" t="s">
        <v>9</v>
      </c>
      <c r="B96" s="20" t="s">
        <v>241</v>
      </c>
      <c r="C96" s="55" t="s">
        <v>217</v>
      </c>
      <c r="D96" s="4" t="s">
        <v>215</v>
      </c>
      <c r="E96" s="42" t="s">
        <v>242</v>
      </c>
      <c r="F96" s="25" t="s">
        <v>36</v>
      </c>
      <c r="G96" s="4">
        <v>58</v>
      </c>
      <c r="H96" s="4">
        <v>3</v>
      </c>
      <c r="I96" s="12">
        <f t="shared" si="1"/>
        <v>61</v>
      </c>
      <c r="J96" s="15"/>
      <c r="K96" s="43">
        <f>J96*(G96+H96)</f>
        <v>0</v>
      </c>
      <c r="L96" s="8"/>
      <c r="M96" s="6"/>
      <c r="N96" s="10"/>
      <c r="O96" s="18"/>
      <c r="P96" s="32"/>
      <c r="Q96" s="33"/>
      <c r="R96" s="34"/>
    </row>
    <row r="97" spans="1:18" x14ac:dyDescent="0.25">
      <c r="A97" s="24" t="s">
        <v>9</v>
      </c>
      <c r="B97" s="20" t="s">
        <v>243</v>
      </c>
      <c r="C97" s="55" t="s">
        <v>217</v>
      </c>
      <c r="D97" s="4" t="s">
        <v>215</v>
      </c>
      <c r="E97" s="42" t="s">
        <v>244</v>
      </c>
      <c r="F97" s="25" t="s">
        <v>36</v>
      </c>
      <c r="G97" s="4">
        <v>58</v>
      </c>
      <c r="H97" s="4">
        <v>3</v>
      </c>
      <c r="I97" s="12">
        <f t="shared" si="1"/>
        <v>61</v>
      </c>
      <c r="J97" s="15"/>
      <c r="K97" s="43">
        <f>J97*(G97+H97)</f>
        <v>0</v>
      </c>
      <c r="L97" s="8"/>
      <c r="M97" s="6"/>
      <c r="N97" s="10"/>
      <c r="O97" s="18"/>
      <c r="P97" s="32"/>
      <c r="Q97" s="33"/>
      <c r="R97" s="34"/>
    </row>
    <row r="98" spans="1:18" x14ac:dyDescent="0.25">
      <c r="A98" s="24" t="s">
        <v>9</v>
      </c>
      <c r="B98" s="20" t="s">
        <v>245</v>
      </c>
      <c r="C98" s="55" t="s">
        <v>217</v>
      </c>
      <c r="D98" s="4" t="s">
        <v>215</v>
      </c>
      <c r="E98" s="42" t="s">
        <v>246</v>
      </c>
      <c r="F98" s="25" t="s">
        <v>36</v>
      </c>
      <c r="G98" s="4">
        <v>58</v>
      </c>
      <c r="H98" s="4">
        <v>2</v>
      </c>
      <c r="I98" s="12">
        <f t="shared" si="1"/>
        <v>60</v>
      </c>
      <c r="J98" s="15"/>
      <c r="K98" s="43">
        <f>J98*(G98+H98)</f>
        <v>0</v>
      </c>
      <c r="L98" s="8"/>
      <c r="M98" s="6"/>
      <c r="N98" s="10"/>
      <c r="O98" s="18"/>
      <c r="P98" s="32"/>
      <c r="Q98" s="33"/>
      <c r="R98" s="34"/>
    </row>
    <row r="99" spans="1:18" x14ac:dyDescent="0.25">
      <c r="A99" s="24" t="s">
        <v>9</v>
      </c>
      <c r="B99" s="20" t="s">
        <v>247</v>
      </c>
      <c r="C99" s="55" t="s">
        <v>217</v>
      </c>
      <c r="D99" s="4" t="s">
        <v>215</v>
      </c>
      <c r="E99" s="42" t="s">
        <v>248</v>
      </c>
      <c r="F99" s="25" t="s">
        <v>36</v>
      </c>
      <c r="G99" s="4">
        <v>58</v>
      </c>
      <c r="H99" s="4">
        <v>1</v>
      </c>
      <c r="I99" s="12">
        <f t="shared" si="1"/>
        <v>59</v>
      </c>
      <c r="J99" s="15"/>
      <c r="K99" s="43">
        <f>J99*(G99+H99)</f>
        <v>0</v>
      </c>
      <c r="L99" s="8"/>
      <c r="M99" s="6"/>
      <c r="N99" s="10"/>
      <c r="O99" s="18"/>
      <c r="P99" s="32"/>
      <c r="Q99" s="33"/>
      <c r="R99" s="34"/>
    </row>
    <row r="100" spans="1:18" x14ac:dyDescent="0.25">
      <c r="A100" s="24" t="s">
        <v>9</v>
      </c>
      <c r="B100" s="20" t="s">
        <v>249</v>
      </c>
      <c r="C100" s="55" t="s">
        <v>217</v>
      </c>
      <c r="D100" s="4" t="s">
        <v>215</v>
      </c>
      <c r="E100" s="42" t="s">
        <v>250</v>
      </c>
      <c r="F100" s="25" t="s">
        <v>36</v>
      </c>
      <c r="G100" s="4">
        <v>58</v>
      </c>
      <c r="H100" s="4">
        <v>1</v>
      </c>
      <c r="I100" s="12">
        <f t="shared" si="1"/>
        <v>59</v>
      </c>
      <c r="J100" s="15"/>
      <c r="K100" s="43">
        <f>J100*(G100+H100)</f>
        <v>0</v>
      </c>
      <c r="L100" s="8"/>
      <c r="M100" s="6"/>
      <c r="N100" s="10"/>
      <c r="O100" s="18"/>
      <c r="P100" s="32"/>
      <c r="Q100" s="33"/>
      <c r="R100" s="34"/>
    </row>
    <row r="101" spans="1:18" x14ac:dyDescent="0.25">
      <c r="A101" s="24" t="s">
        <v>9</v>
      </c>
      <c r="B101" s="20" t="s">
        <v>251</v>
      </c>
      <c r="C101" s="55" t="s">
        <v>217</v>
      </c>
      <c r="D101" s="4" t="s">
        <v>215</v>
      </c>
      <c r="E101" s="42" t="s">
        <v>252</v>
      </c>
      <c r="F101" s="25" t="s">
        <v>36</v>
      </c>
      <c r="G101" s="4">
        <v>58</v>
      </c>
      <c r="H101" s="4">
        <v>2</v>
      </c>
      <c r="I101" s="12">
        <f t="shared" si="1"/>
        <v>60</v>
      </c>
      <c r="J101" s="14"/>
      <c r="K101" s="43">
        <f>J101*(G101+H101)</f>
        <v>0</v>
      </c>
      <c r="L101" s="8"/>
      <c r="M101" s="6"/>
      <c r="N101" s="10"/>
      <c r="O101" s="18"/>
      <c r="P101" s="32"/>
      <c r="Q101" s="33"/>
      <c r="R101" s="34"/>
    </row>
    <row r="102" spans="1:18" x14ac:dyDescent="0.25">
      <c r="A102" s="24" t="s">
        <v>9</v>
      </c>
      <c r="B102" s="20" t="s">
        <v>253</v>
      </c>
      <c r="C102" s="55" t="s">
        <v>217</v>
      </c>
      <c r="D102" s="4" t="s">
        <v>215</v>
      </c>
      <c r="E102" s="42" t="s">
        <v>254</v>
      </c>
      <c r="F102" s="25" t="s">
        <v>36</v>
      </c>
      <c r="G102" s="4">
        <v>58</v>
      </c>
      <c r="H102" s="4">
        <v>2</v>
      </c>
      <c r="I102" s="12">
        <f t="shared" si="1"/>
        <v>60</v>
      </c>
      <c r="J102" s="14"/>
      <c r="K102" s="43">
        <f>J102*(G102+H102)</f>
        <v>0</v>
      </c>
      <c r="L102" s="8"/>
      <c r="M102" s="6"/>
      <c r="N102" s="10"/>
      <c r="O102" s="18"/>
      <c r="P102" s="32"/>
      <c r="Q102" s="33"/>
      <c r="R102" s="34"/>
    </row>
    <row r="103" spans="1:18" x14ac:dyDescent="0.25">
      <c r="A103" s="24" t="s">
        <v>9</v>
      </c>
      <c r="B103" s="20" t="s">
        <v>255</v>
      </c>
      <c r="C103" s="55" t="s">
        <v>217</v>
      </c>
      <c r="D103" s="4" t="s">
        <v>215</v>
      </c>
      <c r="E103" s="42" t="s">
        <v>256</v>
      </c>
      <c r="F103" s="25" t="s">
        <v>36</v>
      </c>
      <c r="G103" s="4">
        <v>58</v>
      </c>
      <c r="H103" s="4">
        <v>2</v>
      </c>
      <c r="I103" s="12">
        <f t="shared" si="1"/>
        <v>60</v>
      </c>
      <c r="J103" s="14"/>
      <c r="K103" s="43">
        <f>J103*(G103+H103)</f>
        <v>0</v>
      </c>
      <c r="L103" s="8"/>
      <c r="M103" s="6"/>
      <c r="N103" s="10"/>
      <c r="O103" s="18"/>
      <c r="P103" s="32"/>
      <c r="Q103" s="33"/>
      <c r="R103" s="34"/>
    </row>
    <row r="104" spans="1:18" x14ac:dyDescent="0.25">
      <c r="A104" s="24" t="s">
        <v>9</v>
      </c>
      <c r="B104" s="20" t="s">
        <v>257</v>
      </c>
      <c r="C104" s="55"/>
      <c r="D104" s="4" t="s">
        <v>215</v>
      </c>
      <c r="E104" s="42" t="s">
        <v>258</v>
      </c>
      <c r="F104" s="25" t="s">
        <v>259</v>
      </c>
      <c r="G104" s="4">
        <v>3</v>
      </c>
      <c r="H104" s="4">
        <v>0</v>
      </c>
      <c r="I104" s="12">
        <f t="shared" si="1"/>
        <v>3</v>
      </c>
      <c r="J104" s="14"/>
      <c r="K104" s="43">
        <f>J104*(G104+H104)</f>
        <v>0</v>
      </c>
      <c r="L104" s="8"/>
      <c r="M104" s="6"/>
      <c r="N104" s="10"/>
      <c r="O104" s="18"/>
      <c r="P104" s="32"/>
      <c r="Q104" s="33"/>
      <c r="R104" s="34"/>
    </row>
    <row r="105" spans="1:18" x14ac:dyDescent="0.25">
      <c r="A105" s="24" t="s">
        <v>9</v>
      </c>
      <c r="B105" s="20" t="s">
        <v>260</v>
      </c>
      <c r="C105" s="55"/>
      <c r="D105" s="4" t="s">
        <v>215</v>
      </c>
      <c r="E105" s="42" t="s">
        <v>261</v>
      </c>
      <c r="F105" s="25" t="s">
        <v>66</v>
      </c>
      <c r="G105" s="4">
        <v>29</v>
      </c>
      <c r="H105" s="4">
        <v>1</v>
      </c>
      <c r="I105" s="12">
        <f t="shared" si="1"/>
        <v>30</v>
      </c>
      <c r="J105" s="14"/>
      <c r="K105" s="43">
        <f>J105*(G105+H105)</f>
        <v>0</v>
      </c>
      <c r="L105" s="8"/>
      <c r="M105" s="6"/>
      <c r="N105" s="10"/>
      <c r="O105" s="18"/>
      <c r="P105" s="32"/>
      <c r="Q105" s="33"/>
      <c r="R105" s="34"/>
    </row>
    <row r="106" spans="1:18" x14ac:dyDescent="0.25">
      <c r="A106" s="24" t="s">
        <v>9</v>
      </c>
      <c r="B106" s="20" t="s">
        <v>262</v>
      </c>
      <c r="C106" s="55"/>
      <c r="D106" s="4" t="s">
        <v>215</v>
      </c>
      <c r="E106" s="42" t="s">
        <v>263</v>
      </c>
      <c r="F106" s="25" t="s">
        <v>66</v>
      </c>
      <c r="G106" s="4">
        <v>29</v>
      </c>
      <c r="H106" s="4">
        <v>1</v>
      </c>
      <c r="I106" s="12">
        <f t="shared" si="1"/>
        <v>30</v>
      </c>
      <c r="J106" s="14"/>
      <c r="K106" s="43">
        <f>J106*(G106+H106)</f>
        <v>0</v>
      </c>
      <c r="L106" s="8"/>
      <c r="M106" s="6"/>
      <c r="N106" s="10"/>
      <c r="O106" s="18"/>
      <c r="P106" s="32"/>
      <c r="Q106" s="33"/>
      <c r="R106" s="34"/>
    </row>
    <row r="107" spans="1:18" x14ac:dyDescent="0.25">
      <c r="A107" s="24" t="s">
        <v>9</v>
      </c>
      <c r="B107" s="20" t="s">
        <v>264</v>
      </c>
      <c r="C107" s="55" t="s">
        <v>265</v>
      </c>
      <c r="D107" s="4" t="s">
        <v>215</v>
      </c>
      <c r="E107" s="42">
        <v>2558230147</v>
      </c>
      <c r="F107" s="25" t="s">
        <v>66</v>
      </c>
      <c r="G107" s="4">
        <v>29</v>
      </c>
      <c r="H107" s="4">
        <v>1</v>
      </c>
      <c r="I107" s="12">
        <f t="shared" si="1"/>
        <v>30</v>
      </c>
      <c r="J107" s="15"/>
      <c r="K107" s="43">
        <f>J107*(G107+H107)</f>
        <v>0</v>
      </c>
      <c r="L107" s="8"/>
      <c r="M107" s="6"/>
      <c r="N107" s="10"/>
      <c r="O107" s="18"/>
      <c r="P107" s="32"/>
      <c r="Q107" s="33"/>
      <c r="R107" s="34"/>
    </row>
    <row r="108" spans="1:18" x14ac:dyDescent="0.25">
      <c r="A108" s="24" t="s">
        <v>9</v>
      </c>
      <c r="B108" s="20" t="s">
        <v>266</v>
      </c>
      <c r="C108" s="55"/>
      <c r="D108" s="4" t="s">
        <v>215</v>
      </c>
      <c r="E108" s="42" t="s">
        <v>267</v>
      </c>
      <c r="F108" s="25" t="s">
        <v>36</v>
      </c>
      <c r="G108" s="4">
        <v>58</v>
      </c>
      <c r="H108" s="4">
        <v>2</v>
      </c>
      <c r="I108" s="12">
        <f t="shared" si="1"/>
        <v>60</v>
      </c>
      <c r="J108" s="14"/>
      <c r="K108" s="43">
        <f>J108*(G108+H108)</f>
        <v>0</v>
      </c>
      <c r="L108" s="8"/>
      <c r="M108" s="6"/>
      <c r="N108" s="10"/>
      <c r="O108" s="18"/>
      <c r="P108" s="32"/>
      <c r="Q108" s="33"/>
      <c r="R108" s="34"/>
    </row>
    <row r="109" spans="1:18" x14ac:dyDescent="0.25">
      <c r="A109" s="24" t="s">
        <v>9</v>
      </c>
      <c r="B109" s="20" t="s">
        <v>268</v>
      </c>
      <c r="C109" s="55" t="s">
        <v>269</v>
      </c>
      <c r="D109" s="4" t="s">
        <v>215</v>
      </c>
      <c r="E109" s="42" t="s">
        <v>270</v>
      </c>
      <c r="F109" s="25" t="s">
        <v>66</v>
      </c>
      <c r="G109" s="4">
        <v>29</v>
      </c>
      <c r="H109" s="4">
        <v>3</v>
      </c>
      <c r="I109" s="12">
        <f t="shared" si="1"/>
        <v>32</v>
      </c>
      <c r="J109" s="14"/>
      <c r="K109" s="43">
        <f>J109*(G109+H109)</f>
        <v>0</v>
      </c>
      <c r="L109" s="8"/>
      <c r="M109" s="6"/>
      <c r="N109" s="10"/>
      <c r="O109" s="18"/>
      <c r="P109" s="32"/>
      <c r="Q109" s="33"/>
      <c r="R109" s="34"/>
    </row>
    <row r="110" spans="1:18" x14ac:dyDescent="0.25">
      <c r="A110" s="24" t="s">
        <v>9</v>
      </c>
      <c r="B110" s="20" t="s">
        <v>271</v>
      </c>
      <c r="C110" s="55"/>
      <c r="D110" s="4" t="s">
        <v>215</v>
      </c>
      <c r="E110" s="42" t="s">
        <v>272</v>
      </c>
      <c r="F110" s="25" t="s">
        <v>66</v>
      </c>
      <c r="G110" s="4">
        <v>29</v>
      </c>
      <c r="H110" s="4">
        <v>1</v>
      </c>
      <c r="I110" s="12">
        <f t="shared" si="1"/>
        <v>30</v>
      </c>
      <c r="J110" s="14"/>
      <c r="K110" s="43">
        <f>J110*(G110+H110)</f>
        <v>0</v>
      </c>
      <c r="L110" s="8"/>
      <c r="M110" s="6"/>
      <c r="N110" s="10"/>
      <c r="O110" s="18"/>
      <c r="P110" s="32"/>
      <c r="Q110" s="33"/>
      <c r="R110" s="34"/>
    </row>
    <row r="111" spans="1:18" x14ac:dyDescent="0.25">
      <c r="A111" s="24" t="s">
        <v>9</v>
      </c>
      <c r="B111" s="20" t="s">
        <v>273</v>
      </c>
      <c r="C111" s="55"/>
      <c r="D111" s="4" t="s">
        <v>215</v>
      </c>
      <c r="E111" s="42" t="s">
        <v>274</v>
      </c>
      <c r="F111" s="25" t="s">
        <v>66</v>
      </c>
      <c r="G111" s="4">
        <v>29</v>
      </c>
      <c r="H111" s="4">
        <v>3</v>
      </c>
      <c r="I111" s="12">
        <f t="shared" si="1"/>
        <v>32</v>
      </c>
      <c r="J111" s="14"/>
      <c r="K111" s="43">
        <f>J111*(G111+H111)</f>
        <v>0</v>
      </c>
      <c r="L111" s="8"/>
      <c r="M111" s="6"/>
      <c r="N111" s="10"/>
      <c r="O111" s="18"/>
      <c r="P111" s="32"/>
      <c r="Q111" s="33"/>
      <c r="R111" s="34"/>
    </row>
    <row r="112" spans="1:18" x14ac:dyDescent="0.25">
      <c r="A112" s="24" t="s">
        <v>9</v>
      </c>
      <c r="B112" s="20" t="s">
        <v>275</v>
      </c>
      <c r="C112" s="55" t="s">
        <v>217</v>
      </c>
      <c r="D112" s="4" t="s">
        <v>215</v>
      </c>
      <c r="E112" s="42" t="s">
        <v>276</v>
      </c>
      <c r="F112" s="25" t="s">
        <v>66</v>
      </c>
      <c r="G112" s="4">
        <v>29</v>
      </c>
      <c r="H112" s="4">
        <v>2</v>
      </c>
      <c r="I112" s="12">
        <f t="shared" si="1"/>
        <v>31</v>
      </c>
      <c r="J112" s="14"/>
      <c r="K112" s="43">
        <f>J112*(G112+H112)</f>
        <v>0</v>
      </c>
      <c r="L112" s="8"/>
      <c r="M112" s="6"/>
      <c r="N112" s="10"/>
      <c r="O112" s="18"/>
      <c r="P112" s="32"/>
      <c r="Q112" s="33"/>
      <c r="R112" s="34"/>
    </row>
    <row r="113" spans="1:18" x14ac:dyDescent="0.25">
      <c r="A113" s="24" t="s">
        <v>9</v>
      </c>
      <c r="B113" s="20" t="s">
        <v>277</v>
      </c>
      <c r="C113" s="55" t="s">
        <v>217</v>
      </c>
      <c r="D113" s="4" t="s">
        <v>215</v>
      </c>
      <c r="E113" s="42" t="s">
        <v>278</v>
      </c>
      <c r="F113" s="25" t="s">
        <v>66</v>
      </c>
      <c r="G113" s="4">
        <v>29</v>
      </c>
      <c r="H113" s="4">
        <v>2</v>
      </c>
      <c r="I113" s="12">
        <f t="shared" si="1"/>
        <v>31</v>
      </c>
      <c r="J113" s="14"/>
      <c r="K113" s="43">
        <f>J113*(G113+H113)</f>
        <v>0</v>
      </c>
      <c r="L113" s="8"/>
      <c r="M113" s="6"/>
      <c r="N113" s="10"/>
      <c r="O113" s="18"/>
      <c r="P113" s="32"/>
      <c r="Q113" s="33"/>
      <c r="R113" s="34"/>
    </row>
    <row r="114" spans="1:18" x14ac:dyDescent="0.25">
      <c r="A114" s="24" t="s">
        <v>9</v>
      </c>
      <c r="B114" s="20" t="s">
        <v>279</v>
      </c>
      <c r="C114" s="55" t="s">
        <v>217</v>
      </c>
      <c r="D114" s="4" t="s">
        <v>215</v>
      </c>
      <c r="E114" s="42" t="s">
        <v>280</v>
      </c>
      <c r="F114" s="25" t="s">
        <v>66</v>
      </c>
      <c r="G114" s="4">
        <v>29</v>
      </c>
      <c r="H114" s="4">
        <v>2</v>
      </c>
      <c r="I114" s="12">
        <f t="shared" si="1"/>
        <v>31</v>
      </c>
      <c r="J114" s="14"/>
      <c r="K114" s="43">
        <f>J114*(G114+H114)</f>
        <v>0</v>
      </c>
      <c r="L114" s="8"/>
      <c r="M114" s="6"/>
      <c r="N114" s="10"/>
      <c r="O114" s="18"/>
      <c r="P114" s="32"/>
      <c r="Q114" s="33"/>
      <c r="R114" s="34"/>
    </row>
    <row r="115" spans="1:18" x14ac:dyDescent="0.25">
      <c r="A115" s="24" t="s">
        <v>9</v>
      </c>
      <c r="B115" s="20" t="s">
        <v>281</v>
      </c>
      <c r="C115" s="55" t="s">
        <v>282</v>
      </c>
      <c r="D115" s="4" t="s">
        <v>215</v>
      </c>
      <c r="E115" s="42" t="s">
        <v>283</v>
      </c>
      <c r="F115" s="25" t="s">
        <v>66</v>
      </c>
      <c r="G115" s="4">
        <v>29</v>
      </c>
      <c r="H115" s="4">
        <v>2</v>
      </c>
      <c r="I115" s="12">
        <f t="shared" si="1"/>
        <v>31</v>
      </c>
      <c r="J115" s="14"/>
      <c r="K115" s="43">
        <f>J115*(G115+H115)</f>
        <v>0</v>
      </c>
      <c r="L115" s="8"/>
      <c r="M115" s="6"/>
      <c r="N115" s="10"/>
      <c r="O115" s="18"/>
      <c r="P115" s="32"/>
      <c r="Q115" s="33"/>
      <c r="R115" s="34"/>
    </row>
    <row r="116" spans="1:18" x14ac:dyDescent="0.25">
      <c r="A116" s="24" t="s">
        <v>9</v>
      </c>
      <c r="B116" s="20" t="s">
        <v>284</v>
      </c>
      <c r="C116" s="55" t="s">
        <v>282</v>
      </c>
      <c r="D116" s="4" t="s">
        <v>215</v>
      </c>
      <c r="E116" s="42" t="s">
        <v>285</v>
      </c>
      <c r="F116" s="25" t="s">
        <v>66</v>
      </c>
      <c r="G116" s="4">
        <v>29</v>
      </c>
      <c r="H116" s="4">
        <v>2</v>
      </c>
      <c r="I116" s="12">
        <f t="shared" si="1"/>
        <v>31</v>
      </c>
      <c r="J116" s="14"/>
      <c r="K116" s="43">
        <f>J116*(G116+H116)</f>
        <v>0</v>
      </c>
      <c r="L116" s="8"/>
      <c r="M116" s="6"/>
      <c r="N116" s="10"/>
      <c r="O116" s="18"/>
      <c r="P116" s="32"/>
      <c r="Q116" s="33"/>
      <c r="R116" s="34"/>
    </row>
    <row r="117" spans="1:18" x14ac:dyDescent="0.25">
      <c r="A117" s="24" t="s">
        <v>9</v>
      </c>
      <c r="B117" s="20" t="s">
        <v>286</v>
      </c>
      <c r="C117" s="55" t="s">
        <v>287</v>
      </c>
      <c r="D117" s="4" t="s">
        <v>215</v>
      </c>
      <c r="E117" s="42" t="s">
        <v>288</v>
      </c>
      <c r="F117" s="25" t="s">
        <v>45</v>
      </c>
      <c r="G117" s="4">
        <v>1</v>
      </c>
      <c r="H117" s="4">
        <v>0</v>
      </c>
      <c r="I117" s="12">
        <f t="shared" si="1"/>
        <v>1</v>
      </c>
      <c r="J117" s="14"/>
      <c r="K117" s="43">
        <f>J117*(G117+H117)</f>
        <v>0</v>
      </c>
      <c r="L117" s="8"/>
      <c r="M117" s="6"/>
      <c r="N117" s="10"/>
      <c r="O117" s="18"/>
      <c r="P117" s="32"/>
      <c r="Q117" s="33"/>
      <c r="R117" s="34"/>
    </row>
    <row r="118" spans="1:18" x14ac:dyDescent="0.25">
      <c r="A118" s="24" t="s">
        <v>289</v>
      </c>
      <c r="B118" s="20" t="s">
        <v>290</v>
      </c>
      <c r="C118" s="55"/>
      <c r="D118" s="4" t="s">
        <v>114</v>
      </c>
      <c r="E118" s="42" t="s">
        <v>291</v>
      </c>
      <c r="F118" s="25" t="s">
        <v>292</v>
      </c>
      <c r="G118" s="4">
        <v>29</v>
      </c>
      <c r="H118" s="4">
        <v>0</v>
      </c>
      <c r="I118" s="12">
        <f t="shared" si="1"/>
        <v>29</v>
      </c>
      <c r="J118" s="14"/>
      <c r="K118" s="43">
        <f>J118*G118</f>
        <v>0</v>
      </c>
      <c r="L118" s="8"/>
      <c r="M118" s="6"/>
      <c r="N118" s="10"/>
      <c r="O118" s="18"/>
      <c r="P118" s="32"/>
      <c r="Q118" s="33"/>
      <c r="R118" s="34"/>
    </row>
    <row r="119" spans="1:18" x14ac:dyDescent="0.25">
      <c r="A119" s="24" t="s">
        <v>289</v>
      </c>
      <c r="B119" s="20" t="s">
        <v>293</v>
      </c>
      <c r="C119" s="55"/>
      <c r="D119" s="4" t="s">
        <v>114</v>
      </c>
      <c r="E119" s="42" t="s">
        <v>294</v>
      </c>
      <c r="F119" s="25" t="s">
        <v>295</v>
      </c>
      <c r="G119" s="4">
        <v>29</v>
      </c>
      <c r="H119" s="4">
        <v>0</v>
      </c>
      <c r="I119" s="12">
        <f t="shared" si="1"/>
        <v>29</v>
      </c>
      <c r="J119" s="14"/>
      <c r="K119" s="43">
        <f>J119*G119</f>
        <v>0</v>
      </c>
      <c r="L119" s="8"/>
      <c r="M119" s="6"/>
      <c r="N119" s="10"/>
      <c r="O119" s="18"/>
      <c r="P119" s="32"/>
      <c r="Q119" s="33"/>
      <c r="R119" s="34"/>
    </row>
    <row r="120" spans="1:18" x14ac:dyDescent="0.25">
      <c r="A120" s="24" t="s">
        <v>289</v>
      </c>
      <c r="B120" s="20" t="s">
        <v>296</v>
      </c>
      <c r="C120" s="55"/>
      <c r="D120" s="4" t="s">
        <v>114</v>
      </c>
      <c r="E120" s="42" t="s">
        <v>297</v>
      </c>
      <c r="F120" s="25"/>
      <c r="G120" s="4">
        <f>2+7</f>
        <v>9</v>
      </c>
      <c r="H120" s="4">
        <v>0</v>
      </c>
      <c r="I120" s="12">
        <f t="shared" si="1"/>
        <v>9</v>
      </c>
      <c r="J120" s="14"/>
      <c r="K120" s="43">
        <f>J120*G120</f>
        <v>0</v>
      </c>
      <c r="L120" s="8"/>
      <c r="M120" s="6"/>
      <c r="N120" s="10"/>
      <c r="O120" s="18"/>
      <c r="P120" s="32"/>
      <c r="Q120" s="33"/>
      <c r="R120" s="34"/>
    </row>
    <row r="121" spans="1:18" x14ac:dyDescent="0.25">
      <c r="A121" s="24" t="s">
        <v>289</v>
      </c>
      <c r="B121" s="20" t="s">
        <v>298</v>
      </c>
      <c r="C121" s="55"/>
      <c r="D121" s="4" t="s">
        <v>114</v>
      </c>
      <c r="E121" s="42" t="s">
        <v>299</v>
      </c>
      <c r="F121" s="25"/>
      <c r="G121" s="4">
        <v>9</v>
      </c>
      <c r="H121" s="4">
        <v>0</v>
      </c>
      <c r="I121" s="12">
        <f t="shared" si="1"/>
        <v>9</v>
      </c>
      <c r="J121" s="14"/>
      <c r="K121" s="43">
        <f>J121*G121</f>
        <v>0</v>
      </c>
      <c r="L121" s="8"/>
      <c r="M121" s="6"/>
      <c r="N121" s="10"/>
      <c r="O121" s="18"/>
      <c r="P121" s="32"/>
      <c r="Q121" s="33"/>
      <c r="R121" s="34"/>
    </row>
    <row r="122" spans="1:18" x14ac:dyDescent="0.25">
      <c r="A122" s="24" t="s">
        <v>289</v>
      </c>
      <c r="B122" s="20" t="s">
        <v>300</v>
      </c>
      <c r="C122" s="55"/>
      <c r="D122" s="4" t="s">
        <v>114</v>
      </c>
      <c r="E122" s="42" t="s">
        <v>301</v>
      </c>
      <c r="F122" s="25"/>
      <c r="G122" s="4">
        <v>18</v>
      </c>
      <c r="H122" s="4">
        <v>0</v>
      </c>
      <c r="I122" s="12">
        <f t="shared" si="1"/>
        <v>18</v>
      </c>
      <c r="J122" s="14"/>
      <c r="K122" s="43">
        <f>J122*G122</f>
        <v>0</v>
      </c>
      <c r="L122" s="8"/>
      <c r="M122" s="6"/>
      <c r="N122" s="10"/>
      <c r="O122" s="18"/>
      <c r="P122" s="32"/>
      <c r="Q122" s="33"/>
      <c r="R122" s="34"/>
    </row>
    <row r="123" spans="1:18" x14ac:dyDescent="0.25">
      <c r="A123" s="24" t="s">
        <v>289</v>
      </c>
      <c r="B123" s="20" t="s">
        <v>302</v>
      </c>
      <c r="C123" s="55"/>
      <c r="D123" s="4" t="s">
        <v>114</v>
      </c>
      <c r="E123" s="42" t="s">
        <v>303</v>
      </c>
      <c r="F123" s="25"/>
      <c r="G123" s="4">
        <v>4</v>
      </c>
      <c r="H123" s="4">
        <v>0</v>
      </c>
      <c r="I123" s="12">
        <f t="shared" si="1"/>
        <v>4</v>
      </c>
      <c r="J123" s="14"/>
      <c r="K123" s="43">
        <f>J123*G123</f>
        <v>0</v>
      </c>
      <c r="L123" s="8"/>
      <c r="M123" s="6"/>
      <c r="N123" s="10"/>
      <c r="O123" s="18"/>
      <c r="P123" s="32"/>
      <c r="Q123" s="33"/>
      <c r="R123" s="34"/>
    </row>
    <row r="124" spans="1:18" x14ac:dyDescent="0.25">
      <c r="A124" s="24" t="s">
        <v>289</v>
      </c>
      <c r="B124" s="20" t="s">
        <v>304</v>
      </c>
      <c r="C124" s="55"/>
      <c r="D124" s="4" t="s">
        <v>114</v>
      </c>
      <c r="E124" s="42" t="s">
        <v>305</v>
      </c>
      <c r="F124" s="25" t="s">
        <v>306</v>
      </c>
      <c r="G124" s="4">
        <v>43</v>
      </c>
      <c r="H124" s="4">
        <v>0</v>
      </c>
      <c r="I124" s="12">
        <f t="shared" si="1"/>
        <v>43</v>
      </c>
      <c r="J124" s="14"/>
      <c r="K124" s="43">
        <f>J124*G124</f>
        <v>0</v>
      </c>
      <c r="L124" s="8"/>
      <c r="M124" s="6"/>
      <c r="N124" s="10"/>
      <c r="O124" s="18"/>
      <c r="P124" s="32"/>
      <c r="Q124" s="33"/>
      <c r="R124" s="34"/>
    </row>
    <row r="125" spans="1:18" x14ac:dyDescent="0.25">
      <c r="A125" s="24" t="s">
        <v>289</v>
      </c>
      <c r="B125" s="20" t="s">
        <v>307</v>
      </c>
      <c r="C125" s="55"/>
      <c r="D125" s="4" t="s">
        <v>215</v>
      </c>
      <c r="E125" s="42" t="s">
        <v>308</v>
      </c>
      <c r="F125" s="25"/>
      <c r="G125" s="4">
        <v>21</v>
      </c>
      <c r="H125" s="4">
        <v>0</v>
      </c>
      <c r="I125" s="12">
        <f t="shared" si="1"/>
        <v>21</v>
      </c>
      <c r="J125" s="14"/>
      <c r="K125" s="43">
        <f>J125*G125</f>
        <v>0</v>
      </c>
      <c r="L125" s="8"/>
      <c r="M125" s="6"/>
      <c r="N125" s="10"/>
      <c r="O125" s="18"/>
      <c r="P125" s="32"/>
      <c r="Q125" s="33"/>
      <c r="R125" s="34"/>
    </row>
    <row r="126" spans="1:18" x14ac:dyDescent="0.25">
      <c r="A126" s="24" t="s">
        <v>289</v>
      </c>
      <c r="B126" s="20" t="s">
        <v>309</v>
      </c>
      <c r="C126" s="55"/>
      <c r="D126" s="4" t="s">
        <v>311</v>
      </c>
      <c r="E126" s="45" t="s">
        <v>310</v>
      </c>
      <c r="F126" s="25" t="s">
        <v>312</v>
      </c>
      <c r="G126" s="4">
        <v>5</v>
      </c>
      <c r="H126" s="4">
        <v>0</v>
      </c>
      <c r="I126" s="12">
        <f t="shared" si="1"/>
        <v>5</v>
      </c>
      <c r="J126" s="14"/>
      <c r="K126" s="43">
        <f>J126*G126</f>
        <v>0</v>
      </c>
      <c r="L126" s="8"/>
      <c r="M126" s="6"/>
      <c r="N126" s="10"/>
      <c r="O126" s="18"/>
      <c r="P126" s="32"/>
      <c r="Q126" s="33"/>
      <c r="R126" s="34"/>
    </row>
    <row r="127" spans="1:18" x14ac:dyDescent="0.25">
      <c r="A127" s="24" t="s">
        <v>289</v>
      </c>
      <c r="B127" s="20" t="s">
        <v>313</v>
      </c>
      <c r="C127" s="55"/>
      <c r="D127" s="4" t="s">
        <v>311</v>
      </c>
      <c r="E127" s="45" t="s">
        <v>314</v>
      </c>
      <c r="F127" s="25" t="s">
        <v>312</v>
      </c>
      <c r="G127" s="4">
        <v>5</v>
      </c>
      <c r="H127" s="4">
        <v>0</v>
      </c>
      <c r="I127" s="12">
        <f t="shared" si="1"/>
        <v>5</v>
      </c>
      <c r="J127" s="14"/>
      <c r="K127" s="43">
        <f>J127*G127</f>
        <v>0</v>
      </c>
      <c r="L127" s="8"/>
      <c r="M127" s="6"/>
      <c r="N127" s="10"/>
      <c r="O127" s="18"/>
      <c r="P127" s="32"/>
      <c r="Q127" s="33"/>
      <c r="R127" s="34"/>
    </row>
    <row r="128" spans="1:18" x14ac:dyDescent="0.25">
      <c r="A128" s="24" t="s">
        <v>289</v>
      </c>
      <c r="B128" s="20" t="s">
        <v>315</v>
      </c>
      <c r="C128" s="55"/>
      <c r="D128" s="4" t="s">
        <v>311</v>
      </c>
      <c r="E128" s="45" t="s">
        <v>316</v>
      </c>
      <c r="F128" s="25" t="s">
        <v>312</v>
      </c>
      <c r="G128" s="4">
        <v>5</v>
      </c>
      <c r="H128" s="4">
        <v>0</v>
      </c>
      <c r="I128" s="12">
        <f t="shared" si="1"/>
        <v>5</v>
      </c>
      <c r="J128" s="14"/>
      <c r="K128" s="43">
        <f>J128*G128</f>
        <v>0</v>
      </c>
      <c r="L128" s="8"/>
      <c r="M128" s="6"/>
      <c r="N128" s="10"/>
      <c r="O128" s="18"/>
      <c r="P128" s="32"/>
      <c r="Q128" s="33"/>
      <c r="R128" s="34"/>
    </row>
    <row r="129" spans="1:18" x14ac:dyDescent="0.25">
      <c r="A129" s="24" t="s">
        <v>289</v>
      </c>
      <c r="B129" s="20" t="s">
        <v>317</v>
      </c>
      <c r="C129" s="55"/>
      <c r="D129" s="4" t="s">
        <v>311</v>
      </c>
      <c r="E129" s="45" t="s">
        <v>318</v>
      </c>
      <c r="F129" s="25" t="s">
        <v>312</v>
      </c>
      <c r="G129" s="4">
        <v>5</v>
      </c>
      <c r="H129" s="4">
        <v>0</v>
      </c>
      <c r="I129" s="12">
        <f t="shared" si="1"/>
        <v>5</v>
      </c>
      <c r="J129" s="14"/>
      <c r="K129" s="43">
        <f>J129*G129</f>
        <v>0</v>
      </c>
      <c r="L129" s="8"/>
      <c r="M129" s="6"/>
      <c r="N129" s="10"/>
      <c r="O129" s="18"/>
      <c r="P129" s="32"/>
      <c r="Q129" s="33"/>
      <c r="R129" s="34"/>
    </row>
    <row r="130" spans="1:18" x14ac:dyDescent="0.25">
      <c r="A130" s="24" t="s">
        <v>289</v>
      </c>
      <c r="B130" s="20" t="s">
        <v>319</v>
      </c>
      <c r="C130" s="55"/>
      <c r="D130" s="4" t="s">
        <v>311</v>
      </c>
      <c r="E130" s="45" t="s">
        <v>320</v>
      </c>
      <c r="F130" s="25" t="s">
        <v>312</v>
      </c>
      <c r="G130" s="4">
        <v>5</v>
      </c>
      <c r="H130" s="4">
        <v>0</v>
      </c>
      <c r="I130" s="12">
        <f t="shared" si="1"/>
        <v>5</v>
      </c>
      <c r="J130" s="14"/>
      <c r="K130" s="43">
        <f>J130*G130</f>
        <v>0</v>
      </c>
      <c r="L130" s="8"/>
      <c r="M130" s="6"/>
      <c r="N130" s="10"/>
      <c r="O130" s="18"/>
      <c r="P130" s="32"/>
      <c r="Q130" s="33"/>
      <c r="R130" s="34"/>
    </row>
    <row r="131" spans="1:18" x14ac:dyDescent="0.25">
      <c r="A131" s="24" t="s">
        <v>289</v>
      </c>
      <c r="B131" s="20" t="s">
        <v>321</v>
      </c>
      <c r="C131" s="55"/>
      <c r="D131" s="4" t="s">
        <v>311</v>
      </c>
      <c r="E131" s="45" t="s">
        <v>322</v>
      </c>
      <c r="F131" s="25" t="s">
        <v>312</v>
      </c>
      <c r="G131" s="4">
        <v>5</v>
      </c>
      <c r="H131" s="4">
        <v>0</v>
      </c>
      <c r="I131" s="12">
        <f t="shared" ref="I131:I193" si="2">G131+H131</f>
        <v>5</v>
      </c>
      <c r="J131" s="14"/>
      <c r="K131" s="43">
        <f>J131*G131</f>
        <v>0</v>
      </c>
      <c r="L131" s="8"/>
      <c r="M131" s="6"/>
      <c r="N131" s="10"/>
      <c r="O131" s="18"/>
      <c r="P131" s="32"/>
      <c r="Q131" s="33"/>
      <c r="R131" s="34"/>
    </row>
    <row r="132" spans="1:18" x14ac:dyDescent="0.25">
      <c r="A132" s="24" t="s">
        <v>289</v>
      </c>
      <c r="B132" s="20" t="s">
        <v>323</v>
      </c>
      <c r="C132" s="55"/>
      <c r="D132" s="4" t="s">
        <v>311</v>
      </c>
      <c r="E132" s="45" t="s">
        <v>324</v>
      </c>
      <c r="F132" s="25" t="s">
        <v>312</v>
      </c>
      <c r="G132" s="4">
        <v>5</v>
      </c>
      <c r="H132" s="4">
        <v>0</v>
      </c>
      <c r="I132" s="12">
        <f t="shared" si="2"/>
        <v>5</v>
      </c>
      <c r="J132" s="14"/>
      <c r="K132" s="43">
        <f>J132*G132</f>
        <v>0</v>
      </c>
      <c r="L132" s="8"/>
      <c r="M132" s="6"/>
      <c r="N132" s="10"/>
      <c r="O132" s="18"/>
      <c r="P132" s="32"/>
      <c r="Q132" s="33"/>
      <c r="R132" s="34"/>
    </row>
    <row r="133" spans="1:18" x14ac:dyDescent="0.25">
      <c r="A133" s="24" t="s">
        <v>289</v>
      </c>
      <c r="B133" s="20" t="s">
        <v>325</v>
      </c>
      <c r="C133" s="55"/>
      <c r="D133" s="4" t="s">
        <v>311</v>
      </c>
      <c r="E133" s="45" t="s">
        <v>326</v>
      </c>
      <c r="F133" s="25" t="s">
        <v>312</v>
      </c>
      <c r="G133" s="4">
        <v>5</v>
      </c>
      <c r="H133" s="4">
        <v>0</v>
      </c>
      <c r="I133" s="12">
        <f t="shared" si="2"/>
        <v>5</v>
      </c>
      <c r="J133" s="14"/>
      <c r="K133" s="43">
        <f>J133*G133</f>
        <v>0</v>
      </c>
      <c r="L133" s="8"/>
      <c r="M133" s="6"/>
      <c r="N133" s="10"/>
      <c r="O133" s="18"/>
      <c r="P133" s="32"/>
      <c r="Q133" s="33"/>
      <c r="R133" s="34"/>
    </row>
    <row r="134" spans="1:18" x14ac:dyDescent="0.25">
      <c r="A134" s="24" t="s">
        <v>289</v>
      </c>
      <c r="B134" s="20" t="s">
        <v>327</v>
      </c>
      <c r="C134" s="55"/>
      <c r="D134" s="4" t="s">
        <v>311</v>
      </c>
      <c r="E134" s="45" t="s">
        <v>328</v>
      </c>
      <c r="F134" s="25" t="s">
        <v>312</v>
      </c>
      <c r="G134" s="4">
        <v>5</v>
      </c>
      <c r="H134" s="4">
        <v>0</v>
      </c>
      <c r="I134" s="12">
        <f t="shared" si="2"/>
        <v>5</v>
      </c>
      <c r="J134" s="14"/>
      <c r="K134" s="43">
        <f>J134*G134</f>
        <v>0</v>
      </c>
      <c r="L134" s="8"/>
      <c r="M134" s="6"/>
      <c r="N134" s="10"/>
      <c r="O134" s="18"/>
      <c r="P134" s="32"/>
      <c r="Q134" s="33"/>
      <c r="R134" s="34"/>
    </row>
    <row r="135" spans="1:18" x14ac:dyDescent="0.25">
      <c r="A135" s="24" t="s">
        <v>289</v>
      </c>
      <c r="B135" s="20" t="s">
        <v>329</v>
      </c>
      <c r="C135" s="55"/>
      <c r="D135" s="4" t="s">
        <v>311</v>
      </c>
      <c r="E135" s="45" t="s">
        <v>330</v>
      </c>
      <c r="F135" s="25" t="s">
        <v>312</v>
      </c>
      <c r="G135" s="4">
        <v>3</v>
      </c>
      <c r="H135" s="4">
        <v>0</v>
      </c>
      <c r="I135" s="12">
        <f t="shared" si="2"/>
        <v>3</v>
      </c>
      <c r="J135" s="14"/>
      <c r="K135" s="43">
        <f>J135*G135</f>
        <v>0</v>
      </c>
      <c r="L135" s="8"/>
      <c r="M135" s="6"/>
      <c r="N135" s="10"/>
      <c r="O135" s="18"/>
      <c r="P135" s="32"/>
      <c r="Q135" s="33"/>
      <c r="R135" s="34"/>
    </row>
    <row r="136" spans="1:18" x14ac:dyDescent="0.25">
      <c r="A136" s="24" t="s">
        <v>289</v>
      </c>
      <c r="B136" s="20" t="s">
        <v>331</v>
      </c>
      <c r="C136" s="55"/>
      <c r="D136" s="4" t="s">
        <v>114</v>
      </c>
      <c r="E136" s="42" t="s">
        <v>332</v>
      </c>
      <c r="F136" s="25"/>
      <c r="G136" s="4">
        <v>8</v>
      </c>
      <c r="H136" s="4">
        <v>0</v>
      </c>
      <c r="I136" s="12">
        <f t="shared" si="2"/>
        <v>8</v>
      </c>
      <c r="J136" s="14"/>
      <c r="K136" s="43">
        <f>J136*G136</f>
        <v>0</v>
      </c>
      <c r="L136" s="8"/>
      <c r="M136" s="6"/>
      <c r="N136" s="10"/>
      <c r="O136" s="18"/>
      <c r="P136" s="32"/>
      <c r="Q136" s="33"/>
      <c r="R136" s="34"/>
    </row>
    <row r="137" spans="1:18" x14ac:dyDescent="0.25">
      <c r="A137" s="24" t="s">
        <v>289</v>
      </c>
      <c r="B137" s="20" t="s">
        <v>331</v>
      </c>
      <c r="C137" s="55"/>
      <c r="D137" s="4" t="s">
        <v>114</v>
      </c>
      <c r="E137" s="46" t="s">
        <v>333</v>
      </c>
      <c r="F137" s="25"/>
      <c r="G137" s="4">
        <v>17</v>
      </c>
      <c r="H137" s="4">
        <v>0</v>
      </c>
      <c r="I137" s="12">
        <f t="shared" si="2"/>
        <v>17</v>
      </c>
      <c r="J137" s="14"/>
      <c r="K137" s="43">
        <f>J137*G137</f>
        <v>0</v>
      </c>
      <c r="L137" s="8"/>
      <c r="M137" s="6"/>
      <c r="N137" s="10"/>
      <c r="O137" s="18"/>
      <c r="P137" s="32"/>
      <c r="Q137" s="33"/>
      <c r="R137" s="34"/>
    </row>
    <row r="138" spans="1:18" x14ac:dyDescent="0.25">
      <c r="A138" s="24" t="s">
        <v>289</v>
      </c>
      <c r="B138" s="20" t="s">
        <v>334</v>
      </c>
      <c r="C138" s="55"/>
      <c r="D138" s="4" t="s">
        <v>99</v>
      </c>
      <c r="E138" s="42" t="s">
        <v>335</v>
      </c>
      <c r="F138" s="25"/>
      <c r="G138" s="4">
        <v>32</v>
      </c>
      <c r="H138" s="4">
        <v>0</v>
      </c>
      <c r="I138" s="12">
        <f t="shared" si="2"/>
        <v>32</v>
      </c>
      <c r="J138" s="14"/>
      <c r="K138" s="43">
        <f>J138*G138</f>
        <v>0</v>
      </c>
      <c r="L138" s="8"/>
      <c r="M138" s="6"/>
      <c r="N138" s="10"/>
      <c r="O138" s="18"/>
      <c r="P138" s="32"/>
      <c r="Q138" s="33"/>
      <c r="R138" s="34"/>
    </row>
    <row r="139" spans="1:18" x14ac:dyDescent="0.25">
      <c r="A139" s="24" t="s">
        <v>289</v>
      </c>
      <c r="B139" s="20" t="s">
        <v>336</v>
      </c>
      <c r="C139" s="55"/>
      <c r="D139" s="4" t="s">
        <v>99</v>
      </c>
      <c r="E139" s="42" t="s">
        <v>337</v>
      </c>
      <c r="F139" s="25" t="s">
        <v>338</v>
      </c>
      <c r="G139" s="4">
        <v>16</v>
      </c>
      <c r="H139" s="4">
        <v>0</v>
      </c>
      <c r="I139" s="12">
        <f t="shared" si="2"/>
        <v>16</v>
      </c>
      <c r="J139" s="14"/>
      <c r="K139" s="43">
        <f>J139*G139</f>
        <v>0</v>
      </c>
      <c r="L139" s="8"/>
      <c r="M139" s="6"/>
      <c r="N139" s="10"/>
      <c r="O139" s="18"/>
      <c r="P139" s="32"/>
      <c r="Q139" s="33"/>
      <c r="R139" s="34"/>
    </row>
    <row r="140" spans="1:18" x14ac:dyDescent="0.25">
      <c r="A140" s="24" t="s">
        <v>289</v>
      </c>
      <c r="B140" s="20" t="s">
        <v>339</v>
      </c>
      <c r="C140" s="55"/>
      <c r="D140" s="4" t="s">
        <v>29</v>
      </c>
      <c r="E140" s="42" t="s">
        <v>340</v>
      </c>
      <c r="F140" s="25"/>
      <c r="G140" s="4">
        <v>9</v>
      </c>
      <c r="H140" s="4">
        <v>0</v>
      </c>
      <c r="I140" s="12">
        <f t="shared" si="2"/>
        <v>9</v>
      </c>
      <c r="J140" s="14"/>
      <c r="K140" s="43">
        <f>J140*G140</f>
        <v>0</v>
      </c>
      <c r="L140" s="8"/>
      <c r="M140" s="6"/>
      <c r="N140" s="10"/>
      <c r="O140" s="18"/>
      <c r="P140" s="32"/>
      <c r="Q140" s="33"/>
      <c r="R140" s="34"/>
    </row>
    <row r="141" spans="1:18" x14ac:dyDescent="0.25">
      <c r="A141" s="24" t="s">
        <v>289</v>
      </c>
      <c r="B141" s="20" t="s">
        <v>341</v>
      </c>
      <c r="C141" s="55"/>
      <c r="D141" s="4" t="s">
        <v>29</v>
      </c>
      <c r="E141" s="42" t="s">
        <v>342</v>
      </c>
      <c r="F141" s="25"/>
      <c r="G141" s="4">
        <v>29</v>
      </c>
      <c r="H141" s="4">
        <v>0</v>
      </c>
      <c r="I141" s="12">
        <f t="shared" si="2"/>
        <v>29</v>
      </c>
      <c r="J141" s="14"/>
      <c r="K141" s="43">
        <f>J141*G141</f>
        <v>0</v>
      </c>
      <c r="L141" s="8"/>
      <c r="M141" s="6"/>
      <c r="N141" s="10"/>
      <c r="O141" s="18"/>
      <c r="P141" s="32"/>
      <c r="Q141" s="33"/>
      <c r="R141" s="34"/>
    </row>
    <row r="142" spans="1:18" x14ac:dyDescent="0.25">
      <c r="A142" s="24" t="s">
        <v>289</v>
      </c>
      <c r="B142" s="20" t="s">
        <v>343</v>
      </c>
      <c r="C142" s="55"/>
      <c r="D142" s="4" t="s">
        <v>29</v>
      </c>
      <c r="E142" s="42" t="s">
        <v>344</v>
      </c>
      <c r="F142" s="25"/>
      <c r="G142" s="4">
        <v>10</v>
      </c>
      <c r="H142" s="4">
        <v>0</v>
      </c>
      <c r="I142" s="12">
        <f t="shared" si="2"/>
        <v>10</v>
      </c>
      <c r="J142" s="14"/>
      <c r="K142" s="43">
        <f>J142*G142</f>
        <v>0</v>
      </c>
      <c r="L142" s="8"/>
      <c r="M142" s="6"/>
      <c r="N142" s="10"/>
      <c r="O142" s="18"/>
      <c r="P142" s="32"/>
      <c r="Q142" s="33"/>
      <c r="R142" s="34"/>
    </row>
    <row r="143" spans="1:18" x14ac:dyDescent="0.25">
      <c r="A143" s="24" t="s">
        <v>289</v>
      </c>
      <c r="B143" s="20" t="s">
        <v>345</v>
      </c>
      <c r="C143" s="55"/>
      <c r="D143" s="4" t="s">
        <v>215</v>
      </c>
      <c r="E143" s="42" t="s">
        <v>346</v>
      </c>
      <c r="F143" s="25"/>
      <c r="G143" s="4">
        <v>29</v>
      </c>
      <c r="H143" s="4">
        <v>0</v>
      </c>
      <c r="I143" s="12">
        <f t="shared" si="2"/>
        <v>29</v>
      </c>
      <c r="J143" s="14"/>
      <c r="K143" s="43">
        <f>J143*G143</f>
        <v>0</v>
      </c>
      <c r="L143" s="8"/>
      <c r="M143" s="6"/>
      <c r="N143" s="10"/>
      <c r="O143" s="18"/>
      <c r="P143" s="32"/>
      <c r="Q143" s="33"/>
      <c r="R143" s="34"/>
    </row>
    <row r="144" spans="1:18" x14ac:dyDescent="0.25">
      <c r="A144" s="24" t="s">
        <v>289</v>
      </c>
      <c r="B144" s="20" t="s">
        <v>347</v>
      </c>
      <c r="C144" s="55"/>
      <c r="D144" s="4" t="s">
        <v>29</v>
      </c>
      <c r="E144" s="42" t="s">
        <v>348</v>
      </c>
      <c r="F144" s="25"/>
      <c r="G144" s="4">
        <v>36</v>
      </c>
      <c r="H144" s="4">
        <v>0</v>
      </c>
      <c r="I144" s="12">
        <f t="shared" si="2"/>
        <v>36</v>
      </c>
      <c r="J144" s="14"/>
      <c r="K144" s="43">
        <f>J144*G144</f>
        <v>0</v>
      </c>
      <c r="L144" s="8"/>
      <c r="M144" s="6"/>
      <c r="N144" s="10"/>
      <c r="O144" s="18"/>
      <c r="P144" s="32"/>
      <c r="Q144" s="33"/>
      <c r="R144" s="34"/>
    </row>
    <row r="145" spans="1:18" x14ac:dyDescent="0.25">
      <c r="A145" s="24" t="s">
        <v>289</v>
      </c>
      <c r="B145" s="20" t="s">
        <v>349</v>
      </c>
      <c r="C145" s="55"/>
      <c r="D145" s="4" t="s">
        <v>29</v>
      </c>
      <c r="E145" s="42" t="s">
        <v>350</v>
      </c>
      <c r="F145" s="25"/>
      <c r="G145" s="4">
        <v>6</v>
      </c>
      <c r="H145" s="4">
        <v>0</v>
      </c>
      <c r="I145" s="12">
        <f t="shared" si="2"/>
        <v>6</v>
      </c>
      <c r="J145" s="14"/>
      <c r="K145" s="43">
        <f>J145*G145</f>
        <v>0</v>
      </c>
      <c r="L145" s="8"/>
      <c r="M145" s="6"/>
      <c r="N145" s="10"/>
      <c r="O145" s="18"/>
      <c r="P145" s="32"/>
      <c r="Q145" s="33"/>
      <c r="R145" s="34"/>
    </row>
    <row r="146" spans="1:18" x14ac:dyDescent="0.25">
      <c r="A146" s="24" t="s">
        <v>289</v>
      </c>
      <c r="B146" s="20" t="s">
        <v>351</v>
      </c>
      <c r="C146" s="55"/>
      <c r="D146" s="4" t="s">
        <v>29</v>
      </c>
      <c r="E146" s="42" t="s">
        <v>352</v>
      </c>
      <c r="F146" s="25"/>
      <c r="G146" s="4">
        <v>12</v>
      </c>
      <c r="H146" s="4">
        <v>0</v>
      </c>
      <c r="I146" s="12">
        <f t="shared" si="2"/>
        <v>12</v>
      </c>
      <c r="J146" s="14"/>
      <c r="K146" s="43">
        <f>J146*G146</f>
        <v>0</v>
      </c>
      <c r="L146" s="8"/>
      <c r="M146" s="6"/>
      <c r="N146" s="10"/>
      <c r="O146" s="18"/>
      <c r="P146" s="32"/>
      <c r="Q146" s="33"/>
      <c r="R146" s="34"/>
    </row>
    <row r="147" spans="1:18" x14ac:dyDescent="0.25">
      <c r="A147" s="24" t="s">
        <v>289</v>
      </c>
      <c r="B147" s="20" t="s">
        <v>353</v>
      </c>
      <c r="C147" s="55"/>
      <c r="D147" s="4" t="s">
        <v>29</v>
      </c>
      <c r="E147" s="42" t="s">
        <v>354</v>
      </c>
      <c r="F147" s="25"/>
      <c r="G147" s="4">
        <v>6</v>
      </c>
      <c r="H147" s="4">
        <v>0</v>
      </c>
      <c r="I147" s="12">
        <f t="shared" si="2"/>
        <v>6</v>
      </c>
      <c r="J147" s="14"/>
      <c r="K147" s="43">
        <f>J147*G147</f>
        <v>0</v>
      </c>
      <c r="L147" s="8"/>
      <c r="M147" s="6"/>
      <c r="N147" s="10"/>
      <c r="O147" s="18"/>
      <c r="P147" s="32"/>
      <c r="Q147" s="33"/>
      <c r="R147" s="34"/>
    </row>
    <row r="148" spans="1:18" x14ac:dyDescent="0.25">
      <c r="A148" s="24" t="s">
        <v>289</v>
      </c>
      <c r="B148" s="20" t="s">
        <v>355</v>
      </c>
      <c r="C148" s="55"/>
      <c r="D148" s="4" t="s">
        <v>29</v>
      </c>
      <c r="E148" s="42" t="s">
        <v>356</v>
      </c>
      <c r="F148" s="25"/>
      <c r="G148" s="4">
        <v>12</v>
      </c>
      <c r="H148" s="4">
        <v>0</v>
      </c>
      <c r="I148" s="12">
        <f t="shared" si="2"/>
        <v>12</v>
      </c>
      <c r="J148" s="14"/>
      <c r="K148" s="43">
        <f>J148*G148</f>
        <v>0</v>
      </c>
      <c r="L148" s="8"/>
      <c r="M148" s="6"/>
      <c r="N148" s="10"/>
      <c r="O148" s="18"/>
      <c r="P148" s="32"/>
      <c r="Q148" s="33"/>
      <c r="R148" s="34"/>
    </row>
    <row r="149" spans="1:18" x14ac:dyDescent="0.25">
      <c r="A149" s="24" t="s">
        <v>289</v>
      </c>
      <c r="B149" s="20" t="s">
        <v>357</v>
      </c>
      <c r="C149" s="55"/>
      <c r="D149" s="4" t="s">
        <v>29</v>
      </c>
      <c r="E149" s="42" t="s">
        <v>358</v>
      </c>
      <c r="F149" s="25"/>
      <c r="G149" s="4">
        <v>6</v>
      </c>
      <c r="H149" s="4">
        <v>0</v>
      </c>
      <c r="I149" s="12">
        <f t="shared" si="2"/>
        <v>6</v>
      </c>
      <c r="J149" s="14"/>
      <c r="K149" s="43">
        <f>J149*G149</f>
        <v>0</v>
      </c>
      <c r="L149" s="8"/>
      <c r="M149" s="6"/>
      <c r="N149" s="10"/>
      <c r="O149" s="18"/>
      <c r="P149" s="32"/>
      <c r="Q149" s="33"/>
      <c r="R149" s="34"/>
    </row>
    <row r="150" spans="1:18" x14ac:dyDescent="0.25">
      <c r="A150" s="24" t="s">
        <v>289</v>
      </c>
      <c r="B150" s="20" t="s">
        <v>359</v>
      </c>
      <c r="C150" s="55"/>
      <c r="D150" s="4" t="s">
        <v>29</v>
      </c>
      <c r="E150" s="42" t="s">
        <v>360</v>
      </c>
      <c r="F150" s="25"/>
      <c r="G150" s="4">
        <v>12</v>
      </c>
      <c r="H150" s="4">
        <v>0</v>
      </c>
      <c r="I150" s="12">
        <f t="shared" si="2"/>
        <v>12</v>
      </c>
      <c r="J150" s="14"/>
      <c r="K150" s="43">
        <f>J150*G150</f>
        <v>0</v>
      </c>
      <c r="L150" s="8"/>
      <c r="M150" s="6"/>
      <c r="N150" s="10"/>
      <c r="O150" s="18"/>
      <c r="P150" s="32"/>
      <c r="Q150" s="33"/>
      <c r="R150" s="34"/>
    </row>
    <row r="151" spans="1:18" x14ac:dyDescent="0.25">
      <c r="A151" s="24" t="s">
        <v>289</v>
      </c>
      <c r="B151" s="20" t="s">
        <v>361</v>
      </c>
      <c r="C151" s="55"/>
      <c r="D151" s="4" t="s">
        <v>29</v>
      </c>
      <c r="E151" s="42" t="s">
        <v>362</v>
      </c>
      <c r="F151" s="25"/>
      <c r="G151" s="4">
        <v>6</v>
      </c>
      <c r="H151" s="4">
        <v>0</v>
      </c>
      <c r="I151" s="12">
        <f t="shared" si="2"/>
        <v>6</v>
      </c>
      <c r="J151" s="14"/>
      <c r="K151" s="43">
        <f>J151*G151</f>
        <v>0</v>
      </c>
      <c r="L151" s="8"/>
      <c r="M151" s="6"/>
      <c r="N151" s="10"/>
      <c r="O151" s="18"/>
      <c r="P151" s="32"/>
      <c r="Q151" s="33"/>
      <c r="R151" s="34"/>
    </row>
    <row r="152" spans="1:18" x14ac:dyDescent="0.25">
      <c r="A152" s="24" t="s">
        <v>289</v>
      </c>
      <c r="B152" s="20" t="s">
        <v>363</v>
      </c>
      <c r="C152" s="55"/>
      <c r="D152" s="4" t="s">
        <v>29</v>
      </c>
      <c r="E152" s="42" t="s">
        <v>364</v>
      </c>
      <c r="F152" s="25"/>
      <c r="G152" s="4">
        <v>8</v>
      </c>
      <c r="H152" s="4">
        <v>0</v>
      </c>
      <c r="I152" s="12">
        <f t="shared" si="2"/>
        <v>8</v>
      </c>
      <c r="J152" s="14"/>
      <c r="K152" s="43">
        <f>J152*G152</f>
        <v>0</v>
      </c>
      <c r="L152" s="8"/>
      <c r="M152" s="6"/>
      <c r="N152" s="10"/>
      <c r="O152" s="18"/>
      <c r="P152" s="32"/>
      <c r="Q152" s="33"/>
      <c r="R152" s="34"/>
    </row>
    <row r="153" spans="1:18" x14ac:dyDescent="0.25">
      <c r="A153" s="24" t="s">
        <v>289</v>
      </c>
      <c r="B153" s="20" t="s">
        <v>365</v>
      </c>
      <c r="C153" s="55"/>
      <c r="D153" s="4" t="s">
        <v>29</v>
      </c>
      <c r="E153" s="42" t="s">
        <v>366</v>
      </c>
      <c r="F153" s="25"/>
      <c r="G153" s="4">
        <v>4</v>
      </c>
      <c r="H153" s="4">
        <v>0</v>
      </c>
      <c r="I153" s="12">
        <f t="shared" si="2"/>
        <v>4</v>
      </c>
      <c r="J153" s="14"/>
      <c r="K153" s="43">
        <f>J153*G153</f>
        <v>0</v>
      </c>
      <c r="L153" s="8"/>
      <c r="M153" s="6"/>
      <c r="N153" s="10"/>
      <c r="O153" s="18"/>
      <c r="P153" s="32"/>
      <c r="Q153" s="33"/>
      <c r="R153" s="34"/>
    </row>
    <row r="154" spans="1:18" x14ac:dyDescent="0.25">
      <c r="A154" s="24" t="s">
        <v>289</v>
      </c>
      <c r="B154" s="20" t="s">
        <v>367</v>
      </c>
      <c r="C154" s="55"/>
      <c r="D154" s="4" t="s">
        <v>29</v>
      </c>
      <c r="E154" s="42" t="s">
        <v>368</v>
      </c>
      <c r="F154" s="25"/>
      <c r="G154" s="4">
        <v>8</v>
      </c>
      <c r="H154" s="4">
        <v>0</v>
      </c>
      <c r="I154" s="12">
        <f t="shared" si="2"/>
        <v>8</v>
      </c>
      <c r="J154" s="14"/>
      <c r="K154" s="43">
        <f>J154*G154</f>
        <v>0</v>
      </c>
      <c r="L154" s="8"/>
      <c r="M154" s="6"/>
      <c r="N154" s="10"/>
      <c r="O154" s="18"/>
      <c r="P154" s="32"/>
      <c r="Q154" s="33"/>
      <c r="R154" s="34"/>
    </row>
    <row r="155" spans="1:18" x14ac:dyDescent="0.25">
      <c r="A155" s="24" t="s">
        <v>289</v>
      </c>
      <c r="B155" s="20" t="s">
        <v>369</v>
      </c>
      <c r="C155" s="55"/>
      <c r="D155" s="4" t="s">
        <v>29</v>
      </c>
      <c r="E155" s="42" t="s">
        <v>370</v>
      </c>
      <c r="F155" s="25"/>
      <c r="G155" s="4">
        <v>40</v>
      </c>
      <c r="H155" s="4">
        <v>0</v>
      </c>
      <c r="I155" s="12">
        <f t="shared" si="2"/>
        <v>40</v>
      </c>
      <c r="J155" s="14"/>
      <c r="K155" s="43">
        <f>J155*G155</f>
        <v>0</v>
      </c>
      <c r="L155" s="8"/>
      <c r="M155" s="6"/>
      <c r="N155" s="10"/>
      <c r="O155" s="18"/>
      <c r="P155" s="32"/>
      <c r="Q155" s="33"/>
      <c r="R155" s="34"/>
    </row>
    <row r="156" spans="1:18" x14ac:dyDescent="0.25">
      <c r="A156" s="24" t="s">
        <v>289</v>
      </c>
      <c r="B156" s="20" t="s">
        <v>371</v>
      </c>
      <c r="C156" s="55"/>
      <c r="D156" s="4" t="s">
        <v>29</v>
      </c>
      <c r="E156" s="42" t="s">
        <v>372</v>
      </c>
      <c r="F156" s="25"/>
      <c r="G156" s="4">
        <v>1</v>
      </c>
      <c r="H156" s="4">
        <v>0</v>
      </c>
      <c r="I156" s="12">
        <f t="shared" si="2"/>
        <v>1</v>
      </c>
      <c r="J156" s="14"/>
      <c r="K156" s="43">
        <f>J156*G156</f>
        <v>0</v>
      </c>
      <c r="L156" s="8"/>
      <c r="M156" s="6"/>
      <c r="N156" s="10"/>
      <c r="O156" s="18"/>
      <c r="P156" s="32"/>
      <c r="Q156" s="33"/>
      <c r="R156" s="34"/>
    </row>
    <row r="157" spans="1:18" x14ac:dyDescent="0.25">
      <c r="A157" s="24" t="s">
        <v>289</v>
      </c>
      <c r="B157" s="20" t="s">
        <v>373</v>
      </c>
      <c r="C157" s="55"/>
      <c r="D157" s="4" t="s">
        <v>375</v>
      </c>
      <c r="E157" s="42" t="s">
        <v>374</v>
      </c>
      <c r="F157" s="25"/>
      <c r="G157" s="4">
        <v>29</v>
      </c>
      <c r="H157" s="4">
        <v>0</v>
      </c>
      <c r="I157" s="12">
        <f t="shared" si="2"/>
        <v>29</v>
      </c>
      <c r="J157" s="14"/>
      <c r="K157" s="43">
        <f>J157*G157</f>
        <v>0</v>
      </c>
      <c r="L157" s="8"/>
      <c r="M157" s="6"/>
      <c r="N157" s="10"/>
      <c r="O157" s="18"/>
      <c r="P157" s="32"/>
      <c r="Q157" s="33"/>
      <c r="R157" s="34"/>
    </row>
    <row r="158" spans="1:18" x14ac:dyDescent="0.25">
      <c r="A158" s="24" t="s">
        <v>289</v>
      </c>
      <c r="B158" s="20" t="s">
        <v>376</v>
      </c>
      <c r="C158" s="55"/>
      <c r="D158" s="4" t="s">
        <v>215</v>
      </c>
      <c r="E158" s="42" t="s">
        <v>377</v>
      </c>
      <c r="F158" s="25"/>
      <c r="G158" s="4">
        <v>4</v>
      </c>
      <c r="H158" s="4">
        <v>0</v>
      </c>
      <c r="I158" s="12">
        <f t="shared" si="2"/>
        <v>4</v>
      </c>
      <c r="J158" s="14"/>
      <c r="K158" s="43">
        <f>J158*G158</f>
        <v>0</v>
      </c>
      <c r="L158" s="8"/>
      <c r="M158" s="6"/>
      <c r="N158" s="10"/>
      <c r="O158" s="18"/>
      <c r="P158" s="32"/>
      <c r="Q158" s="33"/>
      <c r="R158" s="34"/>
    </row>
    <row r="159" spans="1:18" x14ac:dyDescent="0.25">
      <c r="A159" s="24" t="s">
        <v>289</v>
      </c>
      <c r="B159" s="20" t="s">
        <v>378</v>
      </c>
      <c r="C159" s="55"/>
      <c r="D159" s="4" t="s">
        <v>99</v>
      </c>
      <c r="E159" s="42" t="s">
        <v>379</v>
      </c>
      <c r="F159" s="25"/>
      <c r="G159" s="4">
        <v>2</v>
      </c>
      <c r="H159" s="4">
        <v>0</v>
      </c>
      <c r="I159" s="12">
        <f t="shared" si="2"/>
        <v>2</v>
      </c>
      <c r="J159" s="14"/>
      <c r="K159" s="43">
        <f>J159*G159</f>
        <v>0</v>
      </c>
      <c r="L159" s="8"/>
      <c r="M159" s="6"/>
      <c r="N159" s="10"/>
      <c r="O159" s="18"/>
      <c r="P159" s="32"/>
      <c r="Q159" s="33"/>
      <c r="R159" s="34"/>
    </row>
    <row r="160" spans="1:18" x14ac:dyDescent="0.25">
      <c r="A160" s="24" t="s">
        <v>289</v>
      </c>
      <c r="B160" s="20" t="s">
        <v>380</v>
      </c>
      <c r="C160" s="55"/>
      <c r="D160" s="4" t="s">
        <v>99</v>
      </c>
      <c r="E160" s="42" t="s">
        <v>381</v>
      </c>
      <c r="F160" s="25"/>
      <c r="G160" s="4">
        <v>4</v>
      </c>
      <c r="H160" s="4">
        <v>0</v>
      </c>
      <c r="I160" s="12">
        <f t="shared" si="2"/>
        <v>4</v>
      </c>
      <c r="J160" s="14"/>
      <c r="K160" s="43">
        <f>J160*G160</f>
        <v>0</v>
      </c>
      <c r="L160" s="8"/>
      <c r="M160" s="6"/>
      <c r="N160" s="10"/>
      <c r="O160" s="18"/>
      <c r="P160" s="32"/>
      <c r="Q160" s="33"/>
      <c r="R160" s="34"/>
    </row>
    <row r="161" spans="1:18" x14ac:dyDescent="0.25">
      <c r="A161" s="24" t="s">
        <v>289</v>
      </c>
      <c r="B161" s="20" t="s">
        <v>382</v>
      </c>
      <c r="C161" s="55"/>
      <c r="D161" s="4" t="s">
        <v>384</v>
      </c>
      <c r="E161" s="42" t="s">
        <v>383</v>
      </c>
      <c r="F161" s="25"/>
      <c r="G161" s="4">
        <v>10</v>
      </c>
      <c r="H161" s="4">
        <v>0</v>
      </c>
      <c r="I161" s="12">
        <f t="shared" si="2"/>
        <v>10</v>
      </c>
      <c r="J161" s="14"/>
      <c r="K161" s="43">
        <f>J161*G161</f>
        <v>0</v>
      </c>
      <c r="L161" s="8"/>
      <c r="M161" s="6"/>
      <c r="N161" s="10"/>
      <c r="O161" s="18"/>
      <c r="P161" s="32"/>
      <c r="Q161" s="33"/>
      <c r="R161" s="34"/>
    </row>
    <row r="162" spans="1:18" x14ac:dyDescent="0.25">
      <c r="A162" s="24" t="s">
        <v>289</v>
      </c>
      <c r="B162" s="20" t="s">
        <v>385</v>
      </c>
      <c r="C162" s="55"/>
      <c r="D162" s="4" t="s">
        <v>384</v>
      </c>
      <c r="E162" s="42" t="s">
        <v>386</v>
      </c>
      <c r="F162" s="25"/>
      <c r="G162" s="4">
        <v>50</v>
      </c>
      <c r="H162" s="4">
        <v>0</v>
      </c>
      <c r="I162" s="12">
        <f t="shared" si="2"/>
        <v>50</v>
      </c>
      <c r="J162" s="14"/>
      <c r="K162" s="43">
        <f>J162*G162</f>
        <v>0</v>
      </c>
      <c r="L162" s="8"/>
      <c r="M162" s="6"/>
      <c r="N162" s="10"/>
      <c r="O162" s="18"/>
      <c r="P162" s="32"/>
      <c r="Q162" s="33"/>
      <c r="R162" s="34"/>
    </row>
    <row r="163" spans="1:18" x14ac:dyDescent="0.25">
      <c r="A163" s="24" t="s">
        <v>289</v>
      </c>
      <c r="B163" s="20" t="s">
        <v>387</v>
      </c>
      <c r="C163" s="55"/>
      <c r="D163" s="4" t="s">
        <v>384</v>
      </c>
      <c r="E163" s="42" t="s">
        <v>388</v>
      </c>
      <c r="F163" s="25"/>
      <c r="G163" s="4">
        <v>1</v>
      </c>
      <c r="H163" s="4">
        <v>0</v>
      </c>
      <c r="I163" s="12">
        <f t="shared" si="2"/>
        <v>1</v>
      </c>
      <c r="J163" s="14"/>
      <c r="K163" s="43">
        <f>J163*G163</f>
        <v>0</v>
      </c>
      <c r="L163" s="8"/>
      <c r="M163" s="6"/>
      <c r="N163" s="10"/>
      <c r="O163" s="18"/>
      <c r="P163" s="32"/>
      <c r="Q163" s="33"/>
      <c r="R163" s="34"/>
    </row>
    <row r="164" spans="1:18" x14ac:dyDescent="0.25">
      <c r="A164" s="24" t="s">
        <v>289</v>
      </c>
      <c r="B164" s="20" t="s">
        <v>389</v>
      </c>
      <c r="C164" s="55"/>
      <c r="D164" s="4" t="s">
        <v>384</v>
      </c>
      <c r="E164" s="42" t="s">
        <v>390</v>
      </c>
      <c r="F164" s="25"/>
      <c r="G164" s="4">
        <v>2</v>
      </c>
      <c r="H164" s="4">
        <v>0</v>
      </c>
      <c r="I164" s="12">
        <f t="shared" si="2"/>
        <v>2</v>
      </c>
      <c r="J164" s="14"/>
      <c r="K164" s="43">
        <f>J164*G164</f>
        <v>0</v>
      </c>
      <c r="L164" s="8"/>
      <c r="M164" s="6"/>
      <c r="N164" s="10"/>
      <c r="O164" s="18"/>
      <c r="P164" s="32"/>
      <c r="Q164" s="33"/>
      <c r="R164" s="34"/>
    </row>
    <row r="165" spans="1:18" x14ac:dyDescent="0.25">
      <c r="A165" s="24" t="s">
        <v>289</v>
      </c>
      <c r="B165" s="20" t="s">
        <v>391</v>
      </c>
      <c r="C165" s="55"/>
      <c r="D165" s="4" t="s">
        <v>384</v>
      </c>
      <c r="E165" s="42" t="s">
        <v>392</v>
      </c>
      <c r="F165" s="25"/>
      <c r="G165" s="4">
        <v>1</v>
      </c>
      <c r="H165" s="4">
        <v>0</v>
      </c>
      <c r="I165" s="12">
        <f t="shared" si="2"/>
        <v>1</v>
      </c>
      <c r="J165" s="14"/>
      <c r="K165" s="43">
        <f>J165*G165</f>
        <v>0</v>
      </c>
      <c r="L165" s="8"/>
      <c r="M165" s="6"/>
      <c r="N165" s="10"/>
      <c r="O165" s="18"/>
      <c r="P165" s="32"/>
      <c r="Q165" s="33"/>
      <c r="R165" s="34"/>
    </row>
    <row r="166" spans="1:18" x14ac:dyDescent="0.25">
      <c r="A166" s="24" t="s">
        <v>289</v>
      </c>
      <c r="B166" s="20" t="s">
        <v>393</v>
      </c>
      <c r="C166" s="55"/>
      <c r="D166" s="4" t="s">
        <v>384</v>
      </c>
      <c r="E166" s="42" t="s">
        <v>394</v>
      </c>
      <c r="F166" s="25"/>
      <c r="G166" s="4">
        <v>1</v>
      </c>
      <c r="H166" s="4">
        <v>0</v>
      </c>
      <c r="I166" s="12">
        <f t="shared" si="2"/>
        <v>1</v>
      </c>
      <c r="J166" s="14"/>
      <c r="K166" s="43">
        <f>J166*G166</f>
        <v>0</v>
      </c>
      <c r="L166" s="8"/>
      <c r="M166" s="6"/>
      <c r="N166" s="10"/>
      <c r="O166" s="18"/>
      <c r="P166" s="32"/>
      <c r="Q166" s="33"/>
      <c r="R166" s="34"/>
    </row>
    <row r="167" spans="1:18" x14ac:dyDescent="0.25">
      <c r="A167" s="24" t="s">
        <v>289</v>
      </c>
      <c r="B167" s="20" t="s">
        <v>395</v>
      </c>
      <c r="C167" s="55"/>
      <c r="D167" s="4" t="s">
        <v>384</v>
      </c>
      <c r="E167" s="42" t="s">
        <v>396</v>
      </c>
      <c r="F167" s="25"/>
      <c r="G167" s="4">
        <v>1</v>
      </c>
      <c r="H167" s="4">
        <v>0</v>
      </c>
      <c r="I167" s="12">
        <f t="shared" si="2"/>
        <v>1</v>
      </c>
      <c r="J167" s="14"/>
      <c r="K167" s="43">
        <f>J167*G167</f>
        <v>0</v>
      </c>
      <c r="L167" s="8"/>
      <c r="M167" s="6"/>
      <c r="N167" s="10"/>
      <c r="O167" s="18"/>
      <c r="P167" s="32"/>
      <c r="Q167" s="33"/>
      <c r="R167" s="34"/>
    </row>
    <row r="168" spans="1:18" x14ac:dyDescent="0.25">
      <c r="A168" s="24" t="s">
        <v>289</v>
      </c>
      <c r="B168" s="20" t="s">
        <v>397</v>
      </c>
      <c r="C168" s="55"/>
      <c r="D168" s="4" t="s">
        <v>384</v>
      </c>
      <c r="E168" s="42" t="s">
        <v>398</v>
      </c>
      <c r="F168" s="25"/>
      <c r="G168" s="4">
        <v>1</v>
      </c>
      <c r="H168" s="4">
        <v>0</v>
      </c>
      <c r="I168" s="12">
        <f t="shared" si="2"/>
        <v>1</v>
      </c>
      <c r="J168" s="14"/>
      <c r="K168" s="43">
        <f>J168*G168</f>
        <v>0</v>
      </c>
      <c r="L168" s="8"/>
      <c r="M168" s="6"/>
      <c r="N168" s="10"/>
      <c r="O168" s="18"/>
      <c r="P168" s="32"/>
      <c r="Q168" s="33"/>
      <c r="R168" s="34"/>
    </row>
    <row r="169" spans="1:18" x14ac:dyDescent="0.25">
      <c r="A169" s="24" t="s">
        <v>289</v>
      </c>
      <c r="B169" s="20" t="s">
        <v>399</v>
      </c>
      <c r="C169" s="55"/>
      <c r="D169" s="4" t="s">
        <v>401</v>
      </c>
      <c r="E169" s="42" t="s">
        <v>400</v>
      </c>
      <c r="F169" s="25"/>
      <c r="G169" s="4">
        <v>17</v>
      </c>
      <c r="H169" s="4">
        <v>0</v>
      </c>
      <c r="I169" s="12">
        <f t="shared" si="2"/>
        <v>17</v>
      </c>
      <c r="J169" s="14"/>
      <c r="K169" s="43">
        <f>J169*G169</f>
        <v>0</v>
      </c>
      <c r="L169" s="8"/>
      <c r="M169" s="6"/>
      <c r="N169" s="10"/>
      <c r="O169" s="18"/>
      <c r="P169" s="32"/>
      <c r="Q169" s="33"/>
      <c r="R169" s="34"/>
    </row>
    <row r="170" spans="1:18" x14ac:dyDescent="0.25">
      <c r="A170" s="24" t="s">
        <v>289</v>
      </c>
      <c r="B170" s="20" t="s">
        <v>402</v>
      </c>
      <c r="C170" s="55"/>
      <c r="D170" s="4" t="s">
        <v>99</v>
      </c>
      <c r="E170" s="42" t="s">
        <v>403</v>
      </c>
      <c r="F170" s="25"/>
      <c r="G170" s="4">
        <v>20</v>
      </c>
      <c r="H170" s="4">
        <v>0</v>
      </c>
      <c r="I170" s="12">
        <f t="shared" si="2"/>
        <v>20</v>
      </c>
      <c r="J170" s="14"/>
      <c r="K170" s="43">
        <f>J170*G170</f>
        <v>0</v>
      </c>
      <c r="L170" s="8"/>
      <c r="M170" s="6"/>
      <c r="N170" s="10"/>
      <c r="O170" s="18"/>
      <c r="P170" s="32"/>
      <c r="Q170" s="33"/>
      <c r="R170" s="34"/>
    </row>
    <row r="171" spans="1:18" x14ac:dyDescent="0.25">
      <c r="A171" s="24" t="s">
        <v>289</v>
      </c>
      <c r="B171" s="20" t="s">
        <v>404</v>
      </c>
      <c r="C171" s="55"/>
      <c r="D171" s="4" t="s">
        <v>215</v>
      </c>
      <c r="E171" s="42" t="s">
        <v>405</v>
      </c>
      <c r="F171" s="25"/>
      <c r="G171" s="4">
        <v>20</v>
      </c>
      <c r="H171" s="4">
        <v>0</v>
      </c>
      <c r="I171" s="12">
        <f t="shared" si="2"/>
        <v>20</v>
      </c>
      <c r="J171" s="14"/>
      <c r="K171" s="43">
        <f>J171*G171</f>
        <v>0</v>
      </c>
      <c r="L171" s="8"/>
      <c r="M171" s="6"/>
      <c r="N171" s="10"/>
      <c r="O171" s="18"/>
      <c r="P171" s="32"/>
      <c r="Q171" s="33"/>
      <c r="R171" s="34"/>
    </row>
    <row r="172" spans="1:18" x14ac:dyDescent="0.25">
      <c r="A172" s="24" t="s">
        <v>289</v>
      </c>
      <c r="B172" s="20" t="s">
        <v>406</v>
      </c>
      <c r="C172" s="55"/>
      <c r="D172" s="4" t="s">
        <v>29</v>
      </c>
      <c r="E172" s="42" t="s">
        <v>407</v>
      </c>
      <c r="F172" s="25"/>
      <c r="G172" s="4">
        <v>6</v>
      </c>
      <c r="H172" s="4">
        <v>0</v>
      </c>
      <c r="I172" s="12">
        <f t="shared" si="2"/>
        <v>6</v>
      </c>
      <c r="J172" s="14"/>
      <c r="K172" s="43">
        <f>J172*G172</f>
        <v>0</v>
      </c>
      <c r="L172" s="8"/>
      <c r="M172" s="6"/>
      <c r="N172" s="10"/>
      <c r="O172" s="18"/>
      <c r="P172" s="32"/>
      <c r="Q172" s="33"/>
      <c r="R172" s="34"/>
    </row>
    <row r="173" spans="1:18" x14ac:dyDescent="0.25">
      <c r="A173" s="24" t="s">
        <v>289</v>
      </c>
      <c r="B173" s="20" t="s">
        <v>408</v>
      </c>
      <c r="C173" s="55"/>
      <c r="D173" s="4" t="s">
        <v>29</v>
      </c>
      <c r="E173" s="42" t="s">
        <v>409</v>
      </c>
      <c r="F173" s="25"/>
      <c r="G173" s="4">
        <v>3</v>
      </c>
      <c r="H173" s="4">
        <v>0</v>
      </c>
      <c r="I173" s="12">
        <f t="shared" si="2"/>
        <v>3</v>
      </c>
      <c r="J173" s="14"/>
      <c r="K173" s="43">
        <f>J173*G173</f>
        <v>0</v>
      </c>
      <c r="L173" s="8"/>
      <c r="M173" s="6"/>
      <c r="N173" s="10"/>
      <c r="O173" s="18"/>
      <c r="P173" s="32"/>
      <c r="Q173" s="33"/>
      <c r="R173" s="34"/>
    </row>
    <row r="174" spans="1:18" x14ac:dyDescent="0.25">
      <c r="A174" s="24" t="s">
        <v>289</v>
      </c>
      <c r="B174" s="20" t="s">
        <v>410</v>
      </c>
      <c r="C174" s="55"/>
      <c r="D174" s="4" t="s">
        <v>29</v>
      </c>
      <c r="E174" s="42" t="s">
        <v>411</v>
      </c>
      <c r="F174" s="25" t="s">
        <v>412</v>
      </c>
      <c r="G174" s="4">
        <v>24</v>
      </c>
      <c r="H174" s="4">
        <v>0</v>
      </c>
      <c r="I174" s="12">
        <f t="shared" si="2"/>
        <v>24</v>
      </c>
      <c r="J174" s="14"/>
      <c r="K174" s="43">
        <f>J174*G174</f>
        <v>0</v>
      </c>
      <c r="L174" s="8"/>
      <c r="M174" s="6"/>
      <c r="N174" s="10"/>
      <c r="O174" s="18"/>
      <c r="P174" s="32"/>
      <c r="Q174" s="33"/>
      <c r="R174" s="34"/>
    </row>
    <row r="175" spans="1:18" x14ac:dyDescent="0.25">
      <c r="A175" s="24" t="s">
        <v>289</v>
      </c>
      <c r="B175" s="20" t="s">
        <v>413</v>
      </c>
      <c r="C175" s="55"/>
      <c r="D175" s="4" t="s">
        <v>29</v>
      </c>
      <c r="E175" s="42" t="s">
        <v>414</v>
      </c>
      <c r="F175" s="25" t="s">
        <v>412</v>
      </c>
      <c r="G175" s="4">
        <v>24</v>
      </c>
      <c r="H175" s="4">
        <v>0</v>
      </c>
      <c r="I175" s="12">
        <f t="shared" si="2"/>
        <v>24</v>
      </c>
      <c r="J175" s="14"/>
      <c r="K175" s="43">
        <f>J175*G175</f>
        <v>0</v>
      </c>
      <c r="L175" s="8"/>
      <c r="M175" s="6"/>
      <c r="N175" s="10"/>
      <c r="O175" s="18"/>
      <c r="P175" s="32"/>
      <c r="Q175" s="33"/>
      <c r="R175" s="34"/>
    </row>
    <row r="176" spans="1:18" x14ac:dyDescent="0.25">
      <c r="A176" s="24" t="s">
        <v>289</v>
      </c>
      <c r="B176" s="20" t="s">
        <v>415</v>
      </c>
      <c r="C176" s="55"/>
      <c r="D176" s="4" t="s">
        <v>29</v>
      </c>
      <c r="E176" s="42" t="s">
        <v>416</v>
      </c>
      <c r="F176" s="25" t="s">
        <v>412</v>
      </c>
      <c r="G176" s="4">
        <v>24</v>
      </c>
      <c r="H176" s="4">
        <v>0</v>
      </c>
      <c r="I176" s="12">
        <f t="shared" si="2"/>
        <v>24</v>
      </c>
      <c r="J176" s="14"/>
      <c r="K176" s="43">
        <f>J176*G176</f>
        <v>0</v>
      </c>
      <c r="L176" s="8"/>
      <c r="M176" s="6"/>
      <c r="N176" s="10"/>
      <c r="O176" s="18"/>
      <c r="P176" s="32"/>
      <c r="Q176" s="33"/>
      <c r="R176" s="34"/>
    </row>
    <row r="177" spans="1:18" x14ac:dyDescent="0.25">
      <c r="A177" s="24" t="s">
        <v>289</v>
      </c>
      <c r="B177" s="20" t="s">
        <v>417</v>
      </c>
      <c r="C177" s="55"/>
      <c r="D177" s="4" t="s">
        <v>419</v>
      </c>
      <c r="E177" s="42" t="s">
        <v>418</v>
      </c>
      <c r="F177" s="25"/>
      <c r="G177" s="4">
        <v>10</v>
      </c>
      <c r="H177" s="4">
        <v>0</v>
      </c>
      <c r="I177" s="12">
        <f t="shared" si="2"/>
        <v>10</v>
      </c>
      <c r="J177" s="14"/>
      <c r="K177" s="43">
        <f>J177*G177</f>
        <v>0</v>
      </c>
      <c r="L177" s="8"/>
      <c r="M177" s="6"/>
      <c r="N177" s="10"/>
      <c r="O177" s="18"/>
      <c r="P177" s="32"/>
      <c r="Q177" s="33"/>
      <c r="R177" s="34"/>
    </row>
    <row r="178" spans="1:18" x14ac:dyDescent="0.25">
      <c r="A178" s="24" t="s">
        <v>289</v>
      </c>
      <c r="B178" s="20" t="s">
        <v>420</v>
      </c>
      <c r="C178" s="55"/>
      <c r="D178" s="4" t="s">
        <v>419</v>
      </c>
      <c r="E178" s="42" t="s">
        <v>421</v>
      </c>
      <c r="F178" s="25"/>
      <c r="G178" s="4">
        <v>10</v>
      </c>
      <c r="H178" s="4">
        <v>0</v>
      </c>
      <c r="I178" s="12">
        <f t="shared" si="2"/>
        <v>10</v>
      </c>
      <c r="J178" s="14"/>
      <c r="K178" s="43">
        <f>J178*G178</f>
        <v>0</v>
      </c>
      <c r="L178" s="8"/>
      <c r="M178" s="6"/>
      <c r="N178" s="10"/>
      <c r="O178" s="18"/>
      <c r="P178" s="32"/>
      <c r="Q178" s="33"/>
      <c r="R178" s="34"/>
    </row>
    <row r="179" spans="1:18" x14ac:dyDescent="0.25">
      <c r="A179" s="24" t="s">
        <v>289</v>
      </c>
      <c r="B179" s="20" t="s">
        <v>422</v>
      </c>
      <c r="C179" s="55"/>
      <c r="D179" s="4" t="s">
        <v>26</v>
      </c>
      <c r="E179" s="42" t="s">
        <v>423</v>
      </c>
      <c r="F179" s="25"/>
      <c r="G179" s="4">
        <v>1</v>
      </c>
      <c r="H179" s="4">
        <v>0</v>
      </c>
      <c r="I179" s="12">
        <f t="shared" si="2"/>
        <v>1</v>
      </c>
      <c r="J179" s="14"/>
      <c r="K179" s="43">
        <f>J179*G179</f>
        <v>0</v>
      </c>
      <c r="L179" s="8"/>
      <c r="M179" s="6"/>
      <c r="N179" s="10"/>
      <c r="O179" s="18"/>
      <c r="P179" s="32"/>
      <c r="Q179" s="33"/>
      <c r="R179" s="34"/>
    </row>
    <row r="180" spans="1:18" x14ac:dyDescent="0.25">
      <c r="A180" s="24" t="s">
        <v>289</v>
      </c>
      <c r="B180" s="20" t="s">
        <v>424</v>
      </c>
      <c r="C180" s="55"/>
      <c r="D180" s="4" t="s">
        <v>26</v>
      </c>
      <c r="E180" s="47" t="s">
        <v>425</v>
      </c>
      <c r="F180" s="25"/>
      <c r="G180" s="4">
        <v>4</v>
      </c>
      <c r="H180" s="4">
        <v>0</v>
      </c>
      <c r="I180" s="12">
        <f t="shared" si="2"/>
        <v>4</v>
      </c>
      <c r="J180" s="14"/>
      <c r="K180" s="43">
        <f>J180*G180</f>
        <v>0</v>
      </c>
      <c r="L180" s="8"/>
      <c r="M180" s="6"/>
      <c r="N180" s="10"/>
      <c r="O180" s="18"/>
      <c r="P180" s="32"/>
      <c r="Q180" s="33"/>
      <c r="R180" s="34"/>
    </row>
    <row r="181" spans="1:18" x14ac:dyDescent="0.25">
      <c r="A181" s="24" t="s">
        <v>289</v>
      </c>
      <c r="B181" s="20" t="s">
        <v>426</v>
      </c>
      <c r="C181" s="55"/>
      <c r="D181" s="4" t="s">
        <v>26</v>
      </c>
      <c r="E181" s="48" t="s">
        <v>427</v>
      </c>
      <c r="F181" s="25"/>
      <c r="G181" s="4">
        <v>5</v>
      </c>
      <c r="H181" s="4">
        <v>0</v>
      </c>
      <c r="I181" s="12">
        <f t="shared" si="2"/>
        <v>5</v>
      </c>
      <c r="J181" s="14"/>
      <c r="K181" s="43">
        <f>J181*G181</f>
        <v>0</v>
      </c>
      <c r="L181" s="8"/>
      <c r="M181" s="6"/>
      <c r="N181" s="10"/>
      <c r="O181" s="18"/>
      <c r="P181" s="32"/>
      <c r="Q181" s="33"/>
      <c r="R181" s="34"/>
    </row>
    <row r="182" spans="1:18" x14ac:dyDescent="0.25">
      <c r="A182" s="24" t="s">
        <v>289</v>
      </c>
      <c r="B182" s="20" t="s">
        <v>428</v>
      </c>
      <c r="C182" s="55"/>
      <c r="D182" s="4" t="s">
        <v>26</v>
      </c>
      <c r="E182" s="47" t="s">
        <v>429</v>
      </c>
      <c r="F182" s="25"/>
      <c r="G182" s="4">
        <v>2</v>
      </c>
      <c r="H182" s="4">
        <v>0</v>
      </c>
      <c r="I182" s="12">
        <f t="shared" si="2"/>
        <v>2</v>
      </c>
      <c r="J182" s="14"/>
      <c r="K182" s="43">
        <f>J182*G182</f>
        <v>0</v>
      </c>
      <c r="L182" s="8"/>
      <c r="M182" s="6"/>
      <c r="N182" s="10"/>
      <c r="O182" s="18"/>
      <c r="P182" s="32"/>
      <c r="Q182" s="33"/>
      <c r="R182" s="34"/>
    </row>
    <row r="183" spans="1:18" x14ac:dyDescent="0.25">
      <c r="A183" s="24" t="s">
        <v>289</v>
      </c>
      <c r="B183" s="20" t="s">
        <v>430</v>
      </c>
      <c r="C183" s="55"/>
      <c r="D183" s="4" t="s">
        <v>26</v>
      </c>
      <c r="E183" s="47" t="s">
        <v>431</v>
      </c>
      <c r="F183" s="25"/>
      <c r="G183" s="4">
        <v>1</v>
      </c>
      <c r="H183" s="4">
        <v>0</v>
      </c>
      <c r="I183" s="12">
        <f t="shared" si="2"/>
        <v>1</v>
      </c>
      <c r="J183" s="14"/>
      <c r="K183" s="43">
        <f>J183*G183</f>
        <v>0</v>
      </c>
      <c r="L183" s="8"/>
      <c r="M183" s="6"/>
      <c r="N183" s="10"/>
      <c r="O183" s="18"/>
      <c r="P183" s="32"/>
      <c r="Q183" s="33"/>
      <c r="R183" s="34"/>
    </row>
    <row r="184" spans="1:18" x14ac:dyDescent="0.25">
      <c r="A184" s="24" t="s">
        <v>289</v>
      </c>
      <c r="B184" s="20" t="s">
        <v>432</v>
      </c>
      <c r="C184" s="55"/>
      <c r="D184" s="4"/>
      <c r="E184" s="47"/>
      <c r="F184" s="25"/>
      <c r="G184" s="4">
        <v>12</v>
      </c>
      <c r="H184" s="4">
        <v>0</v>
      </c>
      <c r="I184" s="12">
        <f t="shared" si="2"/>
        <v>12</v>
      </c>
      <c r="J184" s="14"/>
      <c r="K184" s="43">
        <f>J184*G184</f>
        <v>0</v>
      </c>
      <c r="L184" s="8"/>
      <c r="M184" s="6"/>
      <c r="N184" s="10"/>
      <c r="O184" s="18"/>
      <c r="P184" s="32"/>
      <c r="Q184" s="33"/>
      <c r="R184" s="34"/>
    </row>
    <row r="185" spans="1:18" x14ac:dyDescent="0.25">
      <c r="A185" s="24" t="s">
        <v>289</v>
      </c>
      <c r="B185" s="20" t="s">
        <v>433</v>
      </c>
      <c r="C185" s="55"/>
      <c r="D185" s="4" t="s">
        <v>215</v>
      </c>
      <c r="E185" s="49"/>
      <c r="F185" s="25"/>
      <c r="G185" s="4">
        <v>2</v>
      </c>
      <c r="H185" s="4">
        <v>0</v>
      </c>
      <c r="I185" s="12">
        <f t="shared" si="2"/>
        <v>2</v>
      </c>
      <c r="J185" s="14"/>
      <c r="K185" s="43">
        <f>J185*G185</f>
        <v>0</v>
      </c>
      <c r="L185" s="8"/>
      <c r="M185" s="6"/>
      <c r="N185" s="10"/>
      <c r="O185" s="18"/>
      <c r="P185" s="32"/>
      <c r="Q185" s="33"/>
      <c r="R185" s="34"/>
    </row>
    <row r="186" spans="1:18" x14ac:dyDescent="0.25">
      <c r="A186" s="24" t="s">
        <v>289</v>
      </c>
      <c r="B186" s="20" t="s">
        <v>434</v>
      </c>
      <c r="C186" s="55"/>
      <c r="D186" s="4" t="s">
        <v>215</v>
      </c>
      <c r="E186" s="49"/>
      <c r="F186" s="25"/>
      <c r="G186" s="4">
        <v>2</v>
      </c>
      <c r="H186" s="4">
        <v>0</v>
      </c>
      <c r="I186" s="12">
        <f t="shared" si="2"/>
        <v>2</v>
      </c>
      <c r="J186" s="14"/>
      <c r="K186" s="43">
        <f>J186*G186</f>
        <v>0</v>
      </c>
      <c r="L186" s="8"/>
      <c r="M186" s="6"/>
      <c r="N186" s="10"/>
      <c r="O186" s="18"/>
      <c r="P186" s="32"/>
      <c r="Q186" s="33"/>
      <c r="R186" s="34"/>
    </row>
    <row r="187" spans="1:18" x14ac:dyDescent="0.25">
      <c r="A187" s="24" t="s">
        <v>435</v>
      </c>
      <c r="B187" s="20" t="s">
        <v>436</v>
      </c>
      <c r="C187" s="55"/>
      <c r="D187" s="4" t="s">
        <v>29</v>
      </c>
      <c r="E187" s="42" t="s">
        <v>437</v>
      </c>
      <c r="F187" s="25"/>
      <c r="G187" s="4">
        <v>2</v>
      </c>
      <c r="H187" s="4">
        <v>0</v>
      </c>
      <c r="I187" s="12">
        <f t="shared" si="2"/>
        <v>2</v>
      </c>
      <c r="J187" s="14"/>
      <c r="K187" s="43">
        <f>J187*G187</f>
        <v>0</v>
      </c>
      <c r="L187" s="8"/>
      <c r="M187" s="6"/>
      <c r="N187" s="10"/>
      <c r="O187" s="18"/>
      <c r="P187" s="32"/>
      <c r="Q187" s="33"/>
      <c r="R187" s="34"/>
    </row>
    <row r="188" spans="1:18" x14ac:dyDescent="0.25">
      <c r="A188" s="24" t="s">
        <v>435</v>
      </c>
      <c r="B188" s="20" t="s">
        <v>438</v>
      </c>
      <c r="C188" s="55"/>
      <c r="D188" s="4" t="s">
        <v>29</v>
      </c>
      <c r="E188" s="42" t="s">
        <v>439</v>
      </c>
      <c r="F188" s="25"/>
      <c r="G188" s="4">
        <v>8</v>
      </c>
      <c r="H188" s="4">
        <v>0</v>
      </c>
      <c r="I188" s="12">
        <f t="shared" si="2"/>
        <v>8</v>
      </c>
      <c r="J188" s="14"/>
      <c r="K188" s="43">
        <f>J188*G188</f>
        <v>0</v>
      </c>
      <c r="L188" s="8"/>
      <c r="M188" s="6"/>
      <c r="N188" s="10"/>
      <c r="O188" s="18"/>
      <c r="P188" s="32"/>
      <c r="Q188" s="33"/>
      <c r="R188" s="34"/>
    </row>
    <row r="189" spans="1:18" x14ac:dyDescent="0.25">
      <c r="A189" s="24" t="s">
        <v>435</v>
      </c>
      <c r="B189" s="20" t="s">
        <v>440</v>
      </c>
      <c r="C189" s="55"/>
      <c r="D189" s="4" t="s">
        <v>29</v>
      </c>
      <c r="E189" s="42" t="s">
        <v>441</v>
      </c>
      <c r="F189" s="25"/>
      <c r="G189" s="4">
        <v>2</v>
      </c>
      <c r="H189" s="4">
        <v>0</v>
      </c>
      <c r="I189" s="12">
        <f t="shared" si="2"/>
        <v>2</v>
      </c>
      <c r="J189" s="14"/>
      <c r="K189" s="43">
        <f>J189*G189</f>
        <v>0</v>
      </c>
      <c r="L189" s="8"/>
      <c r="M189" s="6"/>
      <c r="N189" s="10"/>
      <c r="O189" s="18"/>
      <c r="P189" s="32"/>
      <c r="Q189" s="33"/>
      <c r="R189" s="34"/>
    </row>
    <row r="190" spans="1:18" x14ac:dyDescent="0.25">
      <c r="A190" s="24" t="s">
        <v>435</v>
      </c>
      <c r="B190" s="20" t="s">
        <v>442</v>
      </c>
      <c r="C190" s="55"/>
      <c r="D190" s="4" t="s">
        <v>29</v>
      </c>
      <c r="E190" s="42" t="s">
        <v>443</v>
      </c>
      <c r="F190" s="25"/>
      <c r="G190" s="4">
        <v>12</v>
      </c>
      <c r="H190" s="4">
        <v>0</v>
      </c>
      <c r="I190" s="12">
        <f t="shared" si="2"/>
        <v>12</v>
      </c>
      <c r="J190" s="14"/>
      <c r="K190" s="43">
        <f>J190*G190</f>
        <v>0</v>
      </c>
      <c r="L190" s="8"/>
      <c r="M190" s="6"/>
      <c r="N190" s="10"/>
      <c r="O190" s="18"/>
      <c r="P190" s="32"/>
      <c r="Q190" s="33"/>
      <c r="R190" s="34"/>
    </row>
    <row r="191" spans="1:18" x14ac:dyDescent="0.25">
      <c r="A191" s="24" t="s">
        <v>435</v>
      </c>
      <c r="B191" s="20" t="s">
        <v>444</v>
      </c>
      <c r="C191" s="55"/>
      <c r="D191" s="4" t="s">
        <v>446</v>
      </c>
      <c r="E191" s="42" t="s">
        <v>445</v>
      </c>
      <c r="F191" s="25"/>
      <c r="G191" s="4">
        <v>2</v>
      </c>
      <c r="H191" s="4">
        <v>0</v>
      </c>
      <c r="I191" s="12">
        <f t="shared" si="2"/>
        <v>2</v>
      </c>
      <c r="J191" s="14"/>
      <c r="K191" s="43">
        <f>J191*G191</f>
        <v>0</v>
      </c>
      <c r="L191" s="8"/>
      <c r="M191" s="6"/>
      <c r="N191" s="10"/>
      <c r="O191" s="18"/>
      <c r="P191" s="32"/>
      <c r="Q191" s="33"/>
      <c r="R191" s="34"/>
    </row>
    <row r="192" spans="1:18" x14ac:dyDescent="0.25">
      <c r="A192" s="24" t="s">
        <v>435</v>
      </c>
      <c r="B192" s="20" t="s">
        <v>447</v>
      </c>
      <c r="C192" s="55"/>
      <c r="D192" s="4" t="s">
        <v>114</v>
      </c>
      <c r="E192" s="42" t="s">
        <v>448</v>
      </c>
      <c r="F192" s="25"/>
      <c r="G192" s="4">
        <v>1</v>
      </c>
      <c r="H192" s="4">
        <v>0</v>
      </c>
      <c r="I192" s="12">
        <f t="shared" si="2"/>
        <v>1</v>
      </c>
      <c r="J192" s="14"/>
      <c r="K192" s="43">
        <f>J192*G192</f>
        <v>0</v>
      </c>
      <c r="L192" s="8"/>
      <c r="M192" s="6"/>
      <c r="N192" s="10"/>
      <c r="O192" s="18"/>
      <c r="P192" s="32"/>
      <c r="Q192" s="33"/>
      <c r="R192" s="34"/>
    </row>
    <row r="193" spans="1:18" ht="15.75" thickBot="1" x14ac:dyDescent="0.3">
      <c r="A193" s="26" t="s">
        <v>435</v>
      </c>
      <c r="B193" s="27" t="s">
        <v>449</v>
      </c>
      <c r="C193" s="56"/>
      <c r="D193" s="50" t="s">
        <v>29</v>
      </c>
      <c r="E193" s="51" t="s">
        <v>450</v>
      </c>
      <c r="F193" s="28"/>
      <c r="G193" s="50">
        <v>2</v>
      </c>
      <c r="H193" s="50">
        <v>0</v>
      </c>
      <c r="I193" s="52">
        <f t="shared" si="2"/>
        <v>2</v>
      </c>
      <c r="J193" s="16"/>
      <c r="K193" s="53">
        <f>J193*G193</f>
        <v>0</v>
      </c>
      <c r="L193" s="9"/>
      <c r="M193" s="7"/>
      <c r="N193" s="11"/>
      <c r="O193" s="19"/>
      <c r="P193" s="35"/>
      <c r="Q193" s="36"/>
      <c r="R193" s="37"/>
    </row>
    <row r="194" spans="1:18" ht="15.75" thickBot="1" x14ac:dyDescent="0.3">
      <c r="C194" s="2"/>
      <c r="D194" s="2"/>
      <c r="E194" s="1"/>
      <c r="G194" s="2"/>
      <c r="H194" s="2"/>
      <c r="I194" s="2"/>
      <c r="J194" s="1"/>
    </row>
    <row r="195" spans="1:18" ht="15.75" thickBot="1" x14ac:dyDescent="0.3">
      <c r="B195" s="54" t="s">
        <v>458</v>
      </c>
      <c r="C195" s="57"/>
      <c r="D195" s="57"/>
      <c r="E195" s="17"/>
      <c r="F195" s="17"/>
      <c r="G195" s="57"/>
      <c r="H195" s="57"/>
      <c r="I195" s="57"/>
      <c r="J195" s="17"/>
      <c r="K195" s="58">
        <f>SUM(K2:K193)</f>
        <v>0</v>
      </c>
    </row>
    <row r="254" spans="7:7" hidden="1" x14ac:dyDescent="0.25"/>
    <row r="255" spans="7:7" hidden="1" x14ac:dyDescent="0.25"/>
    <row r="256" spans="7:7" hidden="1" x14ac:dyDescent="0.25">
      <c r="G256" s="3" t="s">
        <v>460</v>
      </c>
    </row>
    <row r="257" spans="7:7" hidden="1" x14ac:dyDescent="0.25">
      <c r="G257" s="3" t="s">
        <v>461</v>
      </c>
    </row>
  </sheetData>
  <sheetProtection algorithmName="SHA-512" hashValue="STzBdO7YcKhJ7oEamcglYUnNPiHgiUIcuD3fXonmD0svxXo0KzyJGyvrnK32ndAvMcav8e/DQQiicOzUK2ywcA==" saltValue="NsCGV9LtUKcgp4SGK4mLnA==" spinCount="100000" sheet="1" objects="1" scenarios="1"/>
  <protectedRanges>
    <protectedRange algorithmName="SHA-512" hashValue="re1x4CJldNn73WMtkHSX6UO5lx+uVE0wJ+8e0hKmSNWprCl1/AMFVM7msGub8/gUCWRFpb6ZXuPeZ+VUklcc9A==" saltValue="Nb9Co9zywb+c9LycJpaXGA==" spinCount="100000" sqref="L2:R193 J2:J193" name="Range1"/>
  </protectedRanges>
  <dataValidations count="1">
    <dataValidation type="list" allowBlank="1" showInputMessage="1" showErrorMessage="1" sqref="M2:M193 P2:P193" xr:uid="{3D478D75-6667-4DBF-A80C-62EC5982E9F7}">
      <formula1>$G$255:$G$257</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Bidding Sheet</vt:lpstr>
    </vt:vector>
  </TitlesOfParts>
  <Company>MEPPI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Harmon, Daniel</dc:creator>
  <cp:lastModifiedBy>Harmon, Daniel</cp:lastModifiedBy>
  <dcterms:created xsi:type="dcterms:W3CDTF">2026-04-21T16:05:59Z</dcterms:created>
  <dcterms:modified xsi:type="dcterms:W3CDTF">2026-04-22T13:30:32Z</dcterms:modified>
</cp:coreProperties>
</file>