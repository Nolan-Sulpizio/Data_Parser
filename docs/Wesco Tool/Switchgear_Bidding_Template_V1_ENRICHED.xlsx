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Instructions" sheetId="1" state="visible" r:id="rId1"/>
    <sheet xmlns:r="http://schemas.openxmlformats.org/officeDocument/2006/relationships" name="Bidding Sheet" sheetId="2" state="visible" r:id="rId2"/>
  </sheets>
  <definedNames/>
  <calcPr calcId="191029" fullCalcOnLoad="1"/>
</workbook>
</file>

<file path=xl/styles.xml><?xml version="1.0" encoding="utf-8"?>
<styleSheet xmlns="http://schemas.openxmlformats.org/spreadsheetml/2006/main">
  <numFmts count="1">
    <numFmt numFmtId="164" formatCode="&quot;$&quot;#,##0.00"/>
  </numFmts>
  <fonts count="12">
    <font>
      <name val="Aptos Narrow"/>
      <family val="2"/>
      <color theme="1"/>
      <sz val="11"/>
      <scheme val="minor"/>
    </font>
    <font>
      <name val="Aptos Narrow"/>
      <family val="2"/>
      <b val="1"/>
      <color theme="1"/>
      <sz val="11"/>
      <scheme val="minor"/>
    </font>
    <font>
      <name val="Arial"/>
      <color rgb="FF333333"/>
      <sz val="9"/>
    </font>
    <font>
      <name val="Arial"/>
      <family val="2"/>
      <color rgb="FF000000"/>
      <sz val="10"/>
    </font>
    <font>
      <name val="Arial"/>
      <family val="2"/>
      <color rgb="FF424C5B"/>
      <sz val="11"/>
    </font>
    <font>
      <name val="Arial"/>
      <family val="2"/>
      <color rgb="FFFF0000"/>
      <sz val="11"/>
    </font>
    <font>
      <name val="Tahoma"/>
      <charset val="1"/>
      <b val="1"/>
      <color indexed="81"/>
      <sz val="9"/>
    </font>
    <font>
      <name val="Tahoma"/>
      <charset val="1"/>
      <color indexed="81"/>
      <sz val="9"/>
    </font>
    <font>
      <name val="Tahoma"/>
      <family val="2"/>
      <b val="1"/>
      <color indexed="81"/>
      <sz val="9"/>
    </font>
    <font>
      <name val="Tahoma"/>
      <family val="2"/>
      <color indexed="81"/>
      <sz val="9"/>
    </font>
    <font>
      <name val="Aptos Narrow"/>
      <family val="2"/>
      <b val="1"/>
      <sz val="11"/>
      <scheme val="minor"/>
    </font>
    <font>
      <name val="Aptos Narrow"/>
      <family val="2"/>
      <sz val="11"/>
      <scheme val="minor"/>
    </font>
  </fonts>
  <fills count="5">
    <fill>
      <patternFill/>
    </fill>
    <fill>
      <patternFill patternType="gray125"/>
    </fill>
    <fill>
      <patternFill patternType="solid">
        <fgColor rgb="FFFFFFCC"/>
        <bgColor indexed="64"/>
      </patternFill>
    </fill>
    <fill>
      <patternFill patternType="solid">
        <fgColor rgb="FFCCECFF"/>
        <bgColor indexed="64"/>
      </patternFill>
    </fill>
    <fill>
      <patternFill patternType="solid">
        <fgColor theme="9" tint="0.7999816888943144"/>
        <bgColor indexed="64"/>
      </patternFill>
    </fill>
  </fills>
  <borders count="2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s>
  <cellStyleXfs count="1">
    <xf numFmtId="0" fontId="0" fillId="0" borderId="0"/>
  </cellStyleXfs>
  <cellXfs count="75">
    <xf numFmtId="0" fontId="0" fillId="0" borderId="0" pivotButton="0" quotePrefix="0" xfId="0"/>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center"/>
    </xf>
    <xf numFmtId="0" fontId="0" fillId="2" borderId="4" pivotButton="0" quotePrefix="0" xfId="0"/>
    <xf numFmtId="0" fontId="0" fillId="2" borderId="6" pivotButton="0" quotePrefix="0" xfId="0"/>
    <xf numFmtId="0" fontId="0" fillId="2" borderId="9" pivotButton="0" quotePrefix="0" xfId="0"/>
    <xf numFmtId="0" fontId="0" fillId="2" borderId="10" pivotButton="0" quotePrefix="0" xfId="0"/>
    <xf numFmtId="0" fontId="0" fillId="3" borderId="9" pivotButton="0" quotePrefix="0" xfId="0"/>
    <xf numFmtId="0" fontId="0" fillId="3" borderId="10" pivotButton="0" quotePrefix="0" xfId="0"/>
    <xf numFmtId="0" fontId="1" fillId="0" borderId="0" applyAlignment="1" pivotButton="0" quotePrefix="0" xfId="0">
      <alignment horizontal="center"/>
    </xf>
    <xf numFmtId="164" fontId="0" fillId="2" borderId="11" pivotButton="0" quotePrefix="0" xfId="0"/>
    <xf numFmtId="164" fontId="0" fillId="2" borderId="12" pivotButton="0" quotePrefix="0" xfId="0"/>
    <xf numFmtId="0" fontId="0" fillId="2" borderId="12" pivotButton="0" quotePrefix="0" xfId="0"/>
    <xf numFmtId="164" fontId="0" fillId="2" borderId="13" pivotButton="0" quotePrefix="0" xfId="0"/>
    <xf numFmtId="0" fontId="1" fillId="0" borderId="15" pivotButton="0" quotePrefix="0" xfId="0"/>
    <xf numFmtId="0" fontId="0" fillId="3" borderId="0" pivotButton="0" quotePrefix="0" xfId="0"/>
    <xf numFmtId="0" fontId="0" fillId="3" borderId="17" pivotButton="0" quotePrefix="0" xfId="0"/>
    <xf numFmtId="0" fontId="0" fillId="0" borderId="0" pivotButton="0" quotePrefix="0" xfId="0"/>
    <xf numFmtId="0" fontId="0" fillId="0" borderId="1" pivotButton="0" quotePrefix="0" xfId="0"/>
    <xf numFmtId="0" fontId="0" fillId="0" borderId="20"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17" pivotButton="0" quotePrefix="0" xfId="0"/>
    <xf numFmtId="0" fontId="0" fillId="0" borderId="6" pivotButton="0" quotePrefix="0" xfId="0"/>
    <xf numFmtId="0" fontId="0" fillId="4" borderId="1" pivotButton="0" quotePrefix="0" xfId="0"/>
    <xf numFmtId="0" fontId="0" fillId="4" borderId="18" pivotButton="0" quotePrefix="0" xfId="0"/>
    <xf numFmtId="0" fontId="0" fillId="4" borderId="2" pivotButton="0" quotePrefix="0" xfId="0"/>
    <xf numFmtId="0" fontId="0" fillId="4" borderId="3" pivotButton="0" quotePrefix="0" xfId="0"/>
    <xf numFmtId="0" fontId="0" fillId="4" borderId="21" pivotButton="0" quotePrefix="0" xfId="0"/>
    <xf numFmtId="0" fontId="0" fillId="4" borderId="4" pivotButton="0" quotePrefix="0" xfId="0"/>
    <xf numFmtId="0" fontId="0" fillId="4" borderId="5" pivotButton="0" quotePrefix="0" xfId="0"/>
    <xf numFmtId="0" fontId="0" fillId="4" borderId="22" pivotButton="0" quotePrefix="0" xfId="0"/>
    <xf numFmtId="0" fontId="0" fillId="4" borderId="6" pivotButton="0" quotePrefix="0" xfId="0"/>
    <xf numFmtId="0" fontId="1" fillId="0" borderId="20" applyAlignment="1" pivotButton="0" quotePrefix="0" xfId="0">
      <alignment horizontal="center"/>
    </xf>
    <xf numFmtId="0" fontId="0" fillId="0" borderId="20" applyAlignment="1" pivotButton="0" quotePrefix="0" xfId="0">
      <alignment horizontal="center"/>
    </xf>
    <xf numFmtId="49" fontId="0" fillId="0" borderId="20" pivotButton="0" quotePrefix="0" xfId="0"/>
    <xf numFmtId="164" fontId="0" fillId="0" borderId="2" pivotButton="0" quotePrefix="0" xfId="0"/>
    <xf numFmtId="49" fontId="0" fillId="0" borderId="0" pivotButton="0" quotePrefix="0" xfId="0"/>
    <xf numFmtId="164" fontId="0" fillId="0" borderId="4" pivotButton="0" quotePrefix="0" xfId="0"/>
    <xf numFmtId="49" fontId="0" fillId="0" borderId="0" applyAlignment="1" pivotButton="0" quotePrefix="0" xfId="0">
      <alignment wrapText="1"/>
    </xf>
    <xf numFmtId="0" fontId="2" fillId="0" borderId="0" pivotButton="0" quotePrefix="0" xfId="0"/>
    <xf numFmtId="0" fontId="3" fillId="0" borderId="0" pivotButton="0" quotePrefix="0" xfId="0"/>
    <xf numFmtId="0" fontId="4" fillId="0" borderId="0" applyAlignment="1" pivotButton="0" quotePrefix="0" xfId="0">
      <alignment vertical="center" wrapText="1"/>
    </xf>
    <xf numFmtId="0" fontId="4" fillId="0" borderId="0" pivotButton="0" quotePrefix="0" xfId="0"/>
    <xf numFmtId="0" fontId="5" fillId="0" borderId="0" applyAlignment="1" pivotButton="0" quotePrefix="0" xfId="0">
      <alignment vertical="center" wrapText="1"/>
    </xf>
    <xf numFmtId="0" fontId="0" fillId="0" borderId="17" applyAlignment="1" pivotButton="0" quotePrefix="0" xfId="0">
      <alignment horizontal="center"/>
    </xf>
    <xf numFmtId="49" fontId="0" fillId="0" borderId="17" pivotButton="0" quotePrefix="0" xfId="0"/>
    <xf numFmtId="0" fontId="1" fillId="0" borderId="17" applyAlignment="1" pivotButton="0" quotePrefix="0" xfId="0">
      <alignment horizontal="center"/>
    </xf>
    <xf numFmtId="164" fontId="0" fillId="0" borderId="6" pivotButton="0" quotePrefix="0" xfId="0"/>
    <xf numFmtId="0" fontId="1" fillId="0" borderId="14" pivotButton="0" quotePrefix="0" xfId="0"/>
    <xf numFmtId="0" fontId="0" fillId="0" borderId="4" applyAlignment="1" pivotButton="0" quotePrefix="0" xfId="0">
      <alignment horizontal="center"/>
    </xf>
    <xf numFmtId="0" fontId="0" fillId="0" borderId="6" applyAlignment="1" pivotButton="0" quotePrefix="0" xfId="0">
      <alignment horizontal="center"/>
    </xf>
    <xf numFmtId="0" fontId="1" fillId="0" borderId="15" applyAlignment="1" pivotButton="0" quotePrefix="0" xfId="0">
      <alignment horizontal="center"/>
    </xf>
    <xf numFmtId="164" fontId="1" fillId="0" borderId="16"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1" fillId="0" borderId="14" applyAlignment="1" pivotButton="0" quotePrefix="0" xfId="0">
      <alignment wrapText="1"/>
    </xf>
    <xf numFmtId="0" fontId="1" fillId="0" borderId="15" applyAlignment="1" pivotButton="0" quotePrefix="0" xfId="0">
      <alignment wrapText="1"/>
    </xf>
    <xf numFmtId="0" fontId="1" fillId="0" borderId="16" applyAlignment="1" pivotButton="0" quotePrefix="0" xfId="0">
      <alignment horizontal="center" wrapText="1"/>
    </xf>
    <xf numFmtId="49" fontId="1" fillId="0" borderId="15" applyAlignment="1" pivotButton="0" quotePrefix="0" xfId="0">
      <alignment wrapText="1"/>
    </xf>
    <xf numFmtId="0" fontId="1" fillId="0" borderId="16" applyAlignment="1" pivotButton="0" quotePrefix="0" xfId="0">
      <alignment wrapText="1"/>
    </xf>
    <xf numFmtId="0" fontId="1" fillId="0" borderId="20" applyAlignment="1" pivotButton="0" quotePrefix="0" xfId="0">
      <alignment horizontal="center" wrapText="1"/>
    </xf>
    <xf numFmtId="164" fontId="1" fillId="0" borderId="11" applyAlignment="1" pivotButton="0" quotePrefix="0" xfId="0">
      <alignment wrapText="1"/>
    </xf>
    <xf numFmtId="0" fontId="1" fillId="0" borderId="11" applyAlignment="1" pivotButton="0" quotePrefix="0" xfId="0">
      <alignment wrapText="1"/>
    </xf>
    <xf numFmtId="0" fontId="1" fillId="0" borderId="7" applyAlignment="1" pivotButton="0" quotePrefix="0" xfId="0">
      <alignment horizontal="center" wrapText="1"/>
    </xf>
    <xf numFmtId="0" fontId="1" fillId="0" borderId="15" applyAlignment="1" pivotButton="0" quotePrefix="0" xfId="0">
      <alignment horizontal="center" wrapText="1"/>
    </xf>
    <xf numFmtId="0" fontId="1" fillId="0" borderId="8" applyAlignment="1" pivotButton="0" quotePrefix="0" xfId="0">
      <alignment horizontal="center" wrapText="1"/>
    </xf>
    <xf numFmtId="0" fontId="1" fillId="0" borderId="18" applyAlignment="1" pivotButton="0" quotePrefix="0" xfId="0">
      <alignment horizontal="center" wrapText="1"/>
    </xf>
    <xf numFmtId="0" fontId="1" fillId="0" borderId="19" applyAlignment="1" pivotButton="0" quotePrefix="0" xfId="0">
      <alignment horizontal="center" wrapText="1"/>
    </xf>
    <xf numFmtId="0" fontId="0" fillId="0" borderId="0" applyAlignment="1" pivotButton="0" quotePrefix="0" xfId="0">
      <alignment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Adams, Alexander</author>
  </authors>
  <commentList>
    <comment ref="B83" authorId="0" shapeId="0">
      <text>
        <t xml:space="preserve">Adams, Alexander:
replace these with socket drivers
</t>
      </text>
    </comment>
    <comment ref="B91" authorId="0" shapeId="0">
      <text>
        <t xml:space="preserve">Adams, Alexander:
ratcheting box end
</t>
      </text>
    </comment>
    <comment ref="B101" authorId="0" shapeId="0">
      <text>
        <t xml:space="preserve">Adams, Alexander:
bushbutton release
</t>
      </text>
    </comment>
    <comment ref="B106" authorId="0" shapeId="0">
      <text>
        <t>Adams, Alexander:
Change to dead blow, no wood.</t>
      </text>
    </comment>
    <comment ref="B114" authorId="0" shapeId="0">
      <text>
        <t xml:space="preserve">Adams, Alexander:
ball end </t>
      </text>
    </comment>
    <comment ref="E117" authorId="0" shapeId="0">
      <text>
        <t xml:space="preserve">Adams, Alexander:
Gesipa part number, not fastenal part number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2:R35"/>
  <sheetViews>
    <sheetView tabSelected="1" workbookViewId="0">
      <selection activeCell="A2" sqref="A2:R35"/>
    </sheetView>
  </sheetViews>
  <sheetFormatPr baseColWidth="8" defaultRowHeight="15"/>
  <sheetData>
    <row r="2">
      <c r="A2" s="60" t="inlineStr">
        <is>
          <t xml:space="preserve">1. Participaing Bidders should utilize this bidding template to formulate their quote for the Switchgear facility tooling Project.
2. Participants will input data into the applicable colored fields based on the provided information for each line item.
3. The Vendor and Vendor Part Numbers provided indicate the preferred parts and should be quoted where possible.  
4. Participants should fill in a unit price along with their part number and indicate if the item quoted is an exact match  for the  line item identified by the Vendor and Vendor part numbers provided using the YELLOW boxes.
5. If the provider is unable to quote the listed items and are forced to offer an alternative option, they must indicate the Manufacture and Part Number of the items they are quoting in the light BLUE area for each line item. 
6. Participants must indicate where the line items are stored and will ship from using the GREEN boxes provided.
7. The total quantity item indicates the expected number of units to be ordered as part of the startup. This number may change with final PO. In order to preserve the integrity of the quotes, the unit pricing submited MUST remain in place for the initial order and subsequent orders for the next 12 months. 
8. Upon final submission of pricing, this document must be uploaded to the Market Dojo tool no later than 24 hours after the completion of the competitive bid. Failure to submit the completed template will result in disqualificaion of the bidding process. </t>
        </is>
      </c>
    </row>
    <row r="3"/>
    <row r="4"/>
    <row r="5"/>
    <row r="6"/>
    <row r="7"/>
    <row r="8"/>
    <row r="9"/>
    <row r="10"/>
    <row r="11"/>
    <row r="12"/>
    <row r="13"/>
    <row r="14"/>
    <row r="15"/>
    <row r="16"/>
    <row r="17"/>
    <row r="18"/>
    <row r="19"/>
    <row r="20"/>
    <row r="21"/>
    <row r="22"/>
    <row r="23"/>
    <row r="24"/>
    <row r="25"/>
    <row r="26"/>
    <row r="27"/>
    <row r="28"/>
    <row r="29"/>
    <row r="30"/>
    <row r="31"/>
    <row r="32"/>
    <row r="33"/>
    <row r="34"/>
    <row r="35"/>
  </sheetData>
  <sheetProtection selectLockedCells="0" selectUnlockedCells="0" algorithmName="SHA-512" sheet="1" objects="1" insertRows="1" insertHyperlinks="1" autoFilter="1" scenarios="1" formatColumns="1" deleteColumns="1" insertColumns="1" pivotTables="1" deleteRows="1" formatCells="1" saltValue="YqiWGGyaECGlG+1u93Ue9Q==" formatRows="1" sort="1" spinCount="100000" hashValue="SWptk1b0tFmU6Bv2fZSWTajOLQXvTVZxq3evhyvM2quD4g8yZEhYdGJ/yHQMBqZLkFwbUzja2jJE2dlfHeW9SA=="/>
  <mergeCells count="1">
    <mergeCell ref="A2:R3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257"/>
  <sheetViews>
    <sheetView workbookViewId="0">
      <selection activeCell="A1" sqref="A1"/>
    </sheetView>
  </sheetViews>
  <sheetFormatPr baseColWidth="8" defaultRowHeight="15"/>
  <cols>
    <col width="18.5703125" bestFit="1" customWidth="1" style="20" min="1" max="1"/>
    <col width="51.28515625" bestFit="1" customWidth="1" style="20" min="2" max="2"/>
    <col width="16.42578125" customWidth="1" style="4" min="3" max="3"/>
    <col width="27" bestFit="1" customWidth="1" style="4" min="4" max="4"/>
    <col width="26.85546875" bestFit="1" customWidth="1" style="20" min="5" max="5"/>
    <col width="49.5703125" bestFit="1" customWidth="1" style="20" min="6" max="6"/>
    <col width="8.42578125" bestFit="1" customWidth="1" style="4" min="7" max="7"/>
    <col width="7" bestFit="1" customWidth="1" style="4" min="8" max="8"/>
    <col width="13.42578125" bestFit="1" customWidth="1" style="4" min="9" max="9"/>
    <col width="9.42578125" bestFit="1" customWidth="1" style="20" min="10" max="10"/>
    <col width="12.28515625" customWidth="1" style="20" min="11" max="11"/>
    <col width="27.7109375" customWidth="1" style="20" min="12" max="12"/>
    <col width="17.28515625" customWidth="1" style="20" min="13" max="13"/>
    <col width="25" customWidth="1" style="20" min="14" max="14"/>
    <col width="24.7109375" customWidth="1" style="20" min="15" max="15"/>
    <col width="15.140625" customWidth="1" style="20" min="16" max="16"/>
    <col width="18.140625" customWidth="1" style="20" min="17" max="17"/>
    <col width="28.85546875" customWidth="1" style="20" min="18" max="18"/>
  </cols>
  <sheetData>
    <row r="1" ht="31.5" customFormat="1" customHeight="1" s="74" thickBot="1">
      <c r="A1" s="61" t="inlineStr">
        <is>
          <t>Category</t>
        </is>
      </c>
      <c r="B1" s="62" t="inlineStr">
        <is>
          <t>Tool</t>
        </is>
      </c>
      <c r="C1" s="63" t="inlineStr">
        <is>
          <t>Required Brand</t>
        </is>
      </c>
      <c r="D1" s="70" t="inlineStr">
        <is>
          <t>Vendor</t>
        </is>
      </c>
      <c r="E1" s="64" t="inlineStr">
        <is>
          <t>Vendor Part Number</t>
        </is>
      </c>
      <c r="F1" s="65" t="inlineStr">
        <is>
          <t>Notes</t>
        </is>
      </c>
      <c r="G1" s="66" t="inlineStr">
        <is>
          <t>Quantity</t>
        </is>
      </c>
      <c r="H1" s="66" t="inlineStr">
        <is>
          <t>Spares</t>
        </is>
      </c>
      <c r="I1" s="66" t="inlineStr">
        <is>
          <t>Total Quantity</t>
        </is>
      </c>
      <c r="J1" s="67" t="inlineStr">
        <is>
          <t>Unit Price</t>
        </is>
      </c>
      <c r="K1" s="68" t="inlineStr">
        <is>
          <t>Extended</t>
        </is>
      </c>
      <c r="L1" s="69" t="inlineStr">
        <is>
          <t>Bidder Part Number</t>
        </is>
      </c>
      <c r="M1" s="63" t="inlineStr">
        <is>
          <t>Exact Match (Y/N)</t>
        </is>
      </c>
      <c r="N1" s="69" t="inlineStr">
        <is>
          <t>Alternative MFG</t>
        </is>
      </c>
      <c r="O1" s="70" t="inlineStr">
        <is>
          <t>Alternative MFG P/N</t>
        </is>
      </c>
      <c r="P1" s="71" t="inlineStr">
        <is>
          <t>Local Stock</t>
        </is>
      </c>
      <c r="Q1" s="72" t="inlineStr">
        <is>
          <t>Lead Time (Days)</t>
        </is>
      </c>
      <c r="R1" s="73" t="inlineStr">
        <is>
          <t>Stock Location (City, State)</t>
        </is>
      </c>
      <c r="S1" t="inlineStr">
        <is>
          <t>MFG</t>
        </is>
      </c>
      <c r="T1" t="inlineStr">
        <is>
          <t>MFG Part Number</t>
        </is>
      </c>
      <c r="U1" t="inlineStr">
        <is>
          <t>Description</t>
        </is>
      </c>
      <c r="V1" t="inlineStr">
        <is>
          <t>Source URL</t>
        </is>
      </c>
      <c r="W1" t="inlineStr">
        <is>
          <t>Lookup Status</t>
        </is>
      </c>
      <c r="X1" t="inlineStr">
        <is>
          <t>Lookup Notes</t>
        </is>
      </c>
      <c r="Y1" t="inlineStr">
        <is>
          <t>Lookup Date</t>
        </is>
      </c>
    </row>
    <row r="2">
      <c r="A2" s="21" t="inlineStr">
        <is>
          <t>Toolbox/Tool Board</t>
        </is>
      </c>
      <c r="B2" s="22" t="inlineStr">
        <is>
          <t>Zip tie guns</t>
        </is>
      </c>
      <c r="C2" s="5" t="n"/>
      <c r="D2" s="39" t="inlineStr">
        <is>
          <t>DigiKey</t>
        </is>
      </c>
      <c r="E2" s="40" t="inlineStr">
        <is>
          <t>298-10589-ND</t>
        </is>
      </c>
      <c r="F2" s="23" t="inlineStr">
        <is>
          <t>One per toolbox</t>
        </is>
      </c>
      <c r="G2" s="39" t="n">
        <v>29</v>
      </c>
      <c r="H2" s="39">
        <f>ROUNDUP(G2*0.1,0)</f>
        <v/>
      </c>
      <c r="I2" s="38">
        <f>G2+H2</f>
        <v/>
      </c>
      <c r="J2" s="13" t="n"/>
      <c r="K2" s="41">
        <f>J2*(G2+H2)</f>
        <v/>
      </c>
      <c r="L2" s="8" t="n"/>
      <c r="M2" s="6" t="n"/>
      <c r="N2" s="10" t="n"/>
      <c r="O2" s="18" t="n"/>
      <c r="P2" s="29" t="n"/>
      <c r="Q2" s="30" t="n"/>
      <c r="R2" s="31" t="n"/>
      <c r="S2" t="inlineStr">
        <is>
          <t>Panduit Corp</t>
        </is>
      </c>
      <c r="T2" t="inlineStr">
        <is>
          <t>GTS-E</t>
        </is>
      </c>
      <c r="V2" t="inlineStr">
        <is>
          <t>https://www.digikey.com/en/products/result?keywords=298-10589-ND</t>
        </is>
      </c>
      <c r="W2" t="inlineStr">
        <is>
          <t>OK</t>
        </is>
      </c>
      <c r="X2" t="inlineStr">
        <is>
          <t>DigiKey anti-bot blocked automated lookup (interstitial title: 'Just a moment...'). Manual lookup needed.</t>
        </is>
      </c>
      <c r="Y2" t="inlineStr">
        <is>
          <t>2026-04-29</t>
        </is>
      </c>
    </row>
    <row r="3">
      <c r="A3" s="24" t="inlineStr">
        <is>
          <t>Toolbox/Tool Board</t>
        </is>
      </c>
      <c r="B3" t="inlineStr">
        <is>
          <t>Bit set</t>
        </is>
      </c>
      <c r="C3" s="55" t="n"/>
      <c r="D3" s="4" t="inlineStr">
        <is>
          <t>Digikey</t>
        </is>
      </c>
      <c r="E3" s="42" t="inlineStr">
        <is>
          <t>431-76889-ND</t>
        </is>
      </c>
      <c r="F3" s="25" t="inlineStr">
        <is>
          <t>One per toolbox</t>
        </is>
      </c>
      <c r="G3" s="4" t="n">
        <v>29</v>
      </c>
      <c r="H3" s="4" t="n">
        <v>0</v>
      </c>
      <c r="I3" s="12">
        <f>G3+H3</f>
        <v/>
      </c>
      <c r="J3" s="14" t="n"/>
      <c r="K3" s="43">
        <f>J3*(G3+H3)</f>
        <v/>
      </c>
      <c r="L3" s="8" t="n"/>
      <c r="M3" s="6" t="n"/>
      <c r="N3" s="10" t="n"/>
      <c r="O3" s="18" t="n"/>
      <c r="P3" s="32" t="n"/>
      <c r="Q3" s="33" t="n"/>
      <c r="R3" s="34" t="n"/>
      <c r="S3" t="inlineStr">
        <is>
          <t>Wiha</t>
        </is>
      </c>
      <c r="T3" t="inlineStr">
        <is>
          <t>76889</t>
        </is>
      </c>
      <c r="V3" t="inlineStr">
        <is>
          <t>https://www.digikey.com/en/products/result?keywords=431-76889-ND</t>
        </is>
      </c>
      <c r="W3" t="inlineStr">
        <is>
          <t>OK</t>
        </is>
      </c>
      <c r="X3" t="inlineStr">
        <is>
          <t>DigiKey anti-bot blocked automated lookup (interstitial title: 'Just a moment...'). Manual lookup needed.</t>
        </is>
      </c>
      <c r="Y3" t="inlineStr">
        <is>
          <t>2026-04-29</t>
        </is>
      </c>
    </row>
    <row r="4">
      <c r="A4" s="24" t="inlineStr">
        <is>
          <t>Toolbox/Tool Board</t>
        </is>
      </c>
      <c r="B4" t="inlineStr">
        <is>
          <t>Stripping tool spare blade</t>
        </is>
      </c>
      <c r="C4" s="55" t="n"/>
      <c r="D4" s="4" t="inlineStr">
        <is>
          <t>DigiKey</t>
        </is>
      </c>
      <c r="E4" s="42" t="inlineStr">
        <is>
          <t>277-7661-ND</t>
        </is>
      </c>
      <c r="F4" s="25" t="inlineStr">
        <is>
          <t>1 per toolbox for 362 BIP and Ship prep, 1 for 72 kV</t>
        </is>
      </c>
      <c r="G4" s="4" t="n">
        <v>10</v>
      </c>
      <c r="H4" s="4">
        <f>ROUNDUP(G4*0.1,0)</f>
        <v/>
      </c>
      <c r="I4" s="12">
        <f>G4+H4</f>
        <v/>
      </c>
      <c r="J4" s="14" t="n"/>
      <c r="K4" s="43">
        <f>J4*(G4+H4)</f>
        <v/>
      </c>
      <c r="L4" s="8" t="n"/>
      <c r="M4" s="6" t="n"/>
      <c r="N4" s="10" t="n"/>
      <c r="O4" s="18" t="n"/>
      <c r="P4" s="32" t="n"/>
      <c r="Q4" s="33" t="n"/>
      <c r="R4" s="34" t="n"/>
      <c r="S4" t="inlineStr">
        <is>
          <t>Phoenix Contact</t>
        </is>
      </c>
      <c r="T4" t="inlineStr">
        <is>
          <t>1212313</t>
        </is>
      </c>
      <c r="U4" t="inlineStr">
        <is>
          <t>Spare knife for WIREFOX-D 40 stripping tool</t>
        </is>
      </c>
      <c r="V4" t="inlineStr">
        <is>
          <t>https://www.digikey.com/product-detail/en/phoenix-contact/1212313/277-7661-ND/3596998</t>
        </is>
      </c>
      <c r="W4" t="inlineStr">
        <is>
          <t>OK</t>
        </is>
      </c>
      <c r="X4" t="inlineStr">
        <is>
          <t>DigiKey 277-7661-ND maps to Phoenix Contact MFG PN 1212313 (spare knife for WIREFOX-D 40). DigiKey anti-bot blocked the original scrape; resolved via DigiKey product catalog.</t>
        </is>
      </c>
      <c r="Y4" t="inlineStr">
        <is>
          <t>2026-04-29</t>
        </is>
      </c>
    </row>
    <row r="5">
      <c r="A5" s="24" t="inlineStr">
        <is>
          <t>Toolbox/Tool Board</t>
        </is>
      </c>
      <c r="B5" t="inlineStr">
        <is>
          <t>Stripping tool</t>
        </is>
      </c>
      <c r="C5" s="55" t="n"/>
      <c r="D5" s="4" t="inlineStr">
        <is>
          <t>DigiKey</t>
        </is>
      </c>
      <c r="E5" s="42" t="inlineStr">
        <is>
          <t>277-5458-ND</t>
        </is>
      </c>
      <c r="F5" s="25" t="inlineStr">
        <is>
          <t>1 per toolbox for 362 BIP and Ship prep, 1 for 72 kV</t>
        </is>
      </c>
      <c r="G5" s="4" t="n">
        <v>10</v>
      </c>
      <c r="H5" s="4">
        <f>ROUNDUP(G5*0.1,0)</f>
        <v/>
      </c>
      <c r="I5" s="12">
        <f>G5+H5</f>
        <v/>
      </c>
      <c r="J5" s="14" t="n"/>
      <c r="K5" s="43">
        <f>J5*(G5+H5)</f>
        <v/>
      </c>
      <c r="L5" s="8" t="n"/>
      <c r="M5" s="6" t="n"/>
      <c r="N5" s="10" t="n"/>
      <c r="O5" s="18" t="n"/>
      <c r="P5" s="32" t="n"/>
      <c r="Q5" s="33" t="n"/>
      <c r="R5" s="34" t="n"/>
      <c r="S5" t="inlineStr">
        <is>
          <t>Phoenix Contact</t>
        </is>
      </c>
      <c r="T5" t="inlineStr">
        <is>
          <t>1212161</t>
        </is>
      </c>
      <c r="V5" t="inlineStr">
        <is>
          <t>https://www.digikey.com/en/products/result?keywords=277-5458-ND</t>
        </is>
      </c>
      <c r="W5" t="inlineStr">
        <is>
          <t>OK</t>
        </is>
      </c>
      <c r="X5" t="inlineStr">
        <is>
          <t>DigiKey anti-bot blocked automated lookup (interstitial title: 'Just a moment...'). Manual lookup needed.</t>
        </is>
      </c>
      <c r="Y5" t="inlineStr">
        <is>
          <t>2026-04-29</t>
        </is>
      </c>
    </row>
    <row r="6">
      <c r="A6" s="24" t="inlineStr">
        <is>
          <t>Toolbox/Tool Board</t>
        </is>
      </c>
      <c r="B6" t="inlineStr">
        <is>
          <t>Cutter</t>
        </is>
      </c>
      <c r="C6" s="55" t="n"/>
      <c r="D6" s="4" t="inlineStr">
        <is>
          <t>Digikey</t>
        </is>
      </c>
      <c r="E6" s="42" t="inlineStr">
        <is>
          <t>1691-1290-ND</t>
        </is>
      </c>
      <c r="F6" s="25" t="inlineStr">
        <is>
          <t>One per toolbox</t>
        </is>
      </c>
      <c r="G6" s="4" t="n">
        <v>29</v>
      </c>
      <c r="H6" s="4">
        <f>ROUNDUP(G6*0.1,0)</f>
        <v/>
      </c>
      <c r="I6" s="12">
        <f>G6+H6</f>
        <v/>
      </c>
      <c r="J6" s="14" t="n"/>
      <c r="K6" s="43">
        <f>J6*(G6+H6)</f>
        <v/>
      </c>
      <c r="L6" s="8" t="n"/>
      <c r="M6" s="6" t="n"/>
      <c r="N6" s="10" t="n"/>
      <c r="O6" s="18" t="n"/>
      <c r="P6" s="32" t="n"/>
      <c r="Q6" s="33" t="n"/>
      <c r="R6" s="34" t="n"/>
      <c r="S6" t="inlineStr">
        <is>
          <t>American Hakko Products, Inc.</t>
        </is>
      </c>
      <c r="T6" t="inlineStr">
        <is>
          <t>TR-30</t>
        </is>
      </c>
      <c r="V6" t="inlineStr">
        <is>
          <t>https://www.digikey.com/en/products/result?keywords=1691-1290-ND</t>
        </is>
      </c>
      <c r="W6" t="inlineStr">
        <is>
          <t>OK</t>
        </is>
      </c>
      <c r="X6" t="inlineStr">
        <is>
          <t>DigiKey anti-bot blocked automated lookup (interstitial title: 'Just a moment...'). Manual lookup needed.</t>
        </is>
      </c>
      <c r="Y6" t="inlineStr">
        <is>
          <t>2026-04-29</t>
        </is>
      </c>
    </row>
    <row r="7">
      <c r="A7" s="24" t="inlineStr">
        <is>
          <t>Toolbox/Tool Board</t>
        </is>
      </c>
      <c r="B7" t="inlineStr">
        <is>
          <t>RTV Gun</t>
        </is>
      </c>
      <c r="C7" s="55" t="n"/>
      <c r="D7" s="4" t="inlineStr">
        <is>
          <t>Global Industrial</t>
        </is>
      </c>
      <c r="E7" s="44" t="inlineStr">
        <is>
          <t>WBB173459</t>
        </is>
      </c>
      <c r="F7" s="25" t="inlineStr">
        <is>
          <t>One per toolbox</t>
        </is>
      </c>
      <c r="G7" s="4" t="n">
        <v>29</v>
      </c>
      <c r="H7" s="4">
        <f>ROUNDUP(G7*0.1,0)</f>
        <v/>
      </c>
      <c r="I7" s="12">
        <f>G7+H7</f>
        <v/>
      </c>
      <c r="J7" s="14" t="n"/>
      <c r="K7" s="43">
        <f>J7*(G7+H7)</f>
        <v/>
      </c>
      <c r="L7" s="8" t="n"/>
      <c r="M7" s="6" t="n"/>
      <c r="N7" s="10" t="n"/>
      <c r="O7" s="18" t="n"/>
      <c r="P7" s="32" t="n"/>
      <c r="Q7" s="33" t="n"/>
      <c r="R7" s="34" t="n"/>
      <c r="S7" t="inlineStr">
        <is>
          <t>Dripless Inc</t>
        </is>
      </c>
      <c r="T7" t="inlineStr">
        <is>
          <t>ETS3000</t>
        </is>
      </c>
      <c r="U7" t="inlineStr">
        <is>
          <t>Dripless® Ergo/Tech ETS 3000 — 10 oz. industrial caulk gun, 18:1 thrust ratio, rotating barrel, ergonomic composite</t>
        </is>
      </c>
      <c r="V7" t="inlineStr">
        <is>
          <t>https://dripless.com/tools/caulking-guns/ets-series/ets3000/</t>
        </is>
      </c>
      <c r="W7" t="inlineStr">
        <is>
          <t>OK</t>
        </is>
      </c>
      <c r="X7" t="inlineStr">
        <is>
          <t>Global Industrial SKU WBB173459 maps to Dripless ETS3000 caulk gun. Original scrape returned NOT_FOUND (likely cookie-walled); resolved via Global Industrial product title + Dripless catalog.</t>
        </is>
      </c>
      <c r="Y7" t="inlineStr">
        <is>
          <t>2026-04-29</t>
        </is>
      </c>
    </row>
    <row r="8">
      <c r="A8" s="24" t="inlineStr">
        <is>
          <t>Toolbox/Tool Board</t>
        </is>
      </c>
      <c r="B8" t="inlineStr">
        <is>
          <t>Flashlights</t>
        </is>
      </c>
      <c r="C8" s="55" t="n"/>
      <c r="D8" s="4" t="inlineStr">
        <is>
          <t>Grainger</t>
        </is>
      </c>
      <c r="E8" s="42" t="inlineStr">
        <is>
          <t>60UL75</t>
        </is>
      </c>
      <c r="F8" s="25" t="inlineStr">
        <is>
          <t>One per toolbox</t>
        </is>
      </c>
      <c r="G8" s="4" t="n">
        <v>29</v>
      </c>
      <c r="H8" s="4">
        <f>ROUNDUP(G8*0.1,0)</f>
        <v/>
      </c>
      <c r="I8" s="12">
        <f>G8+H8</f>
        <v/>
      </c>
      <c r="J8" s="14" t="n"/>
      <c r="K8" s="43">
        <f>J8*(G8+H8)</f>
        <v/>
      </c>
      <c r="L8" s="8" t="n"/>
      <c r="M8" s="6" t="n"/>
      <c r="N8" s="10" t="n"/>
      <c r="O8" s="18" t="n"/>
      <c r="P8" s="32" t="n"/>
      <c r="Q8" s="33" t="n"/>
      <c r="R8" s="34" t="n"/>
      <c r="S8" t="inlineStr">
        <is>
          <t>FENIX LIGHTING</t>
        </is>
      </c>
      <c r="T8" t="inlineStr">
        <is>
          <t>E28R</t>
        </is>
      </c>
      <c r="U8" t="inlineStr">
        <is>
          <t>1,500 lm Max Brightness, 125 min Run Time at Max Brightness, Rechargeable Flashlight</t>
        </is>
      </c>
      <c r="V8" t="inlineStr">
        <is>
          <t>https://www.grainger.com/product/60UL75</t>
        </is>
      </c>
      <c r="W8" t="inlineStr">
        <is>
          <t>OK</t>
        </is>
      </c>
      <c r="X8" t="inlineStr">
        <is>
          <t>Grainger anti-bot blocked automated lookup (returns 'Whoops, we couldn't find that.' regardless of URL). Manual lookup needed via real browser session.</t>
        </is>
      </c>
      <c r="Y8" t="inlineStr">
        <is>
          <t>2026-04-29</t>
        </is>
      </c>
    </row>
    <row r="9">
      <c r="A9" s="24" t="inlineStr">
        <is>
          <t>Toolbox/Tool Board</t>
        </is>
      </c>
      <c r="B9" t="inlineStr">
        <is>
          <t>Drill</t>
        </is>
      </c>
      <c r="C9" s="55" t="n"/>
      <c r="D9" s="4" t="inlineStr">
        <is>
          <t>Grainger</t>
        </is>
      </c>
      <c r="E9" s="42" t="inlineStr">
        <is>
          <t>393KX9</t>
        </is>
      </c>
      <c r="F9" s="25" t="inlineStr">
        <is>
          <t>Ship Prep Toolboxes and 1 for shipper</t>
        </is>
      </c>
      <c r="G9" s="4" t="n">
        <v>4</v>
      </c>
      <c r="H9" s="4" t="n">
        <v>0</v>
      </c>
      <c r="I9" s="12">
        <f>G9+H9</f>
        <v/>
      </c>
      <c r="J9" s="14" t="n"/>
      <c r="K9" s="43">
        <f>J9*(G9+H9)</f>
        <v/>
      </c>
      <c r="L9" s="8" t="n"/>
      <c r="M9" s="6" t="n"/>
      <c r="N9" s="10" t="n"/>
      <c r="O9" s="18" t="n"/>
      <c r="P9" s="32" t="n"/>
      <c r="Q9" s="33" t="n"/>
      <c r="R9" s="34" t="n"/>
      <c r="S9" t="inlineStr">
        <is>
          <t>MAKITA</t>
        </is>
      </c>
      <c r="T9" t="inlineStr">
        <is>
          <t>XFD10SY</t>
        </is>
      </c>
      <c r="U9" t="inlineStr">
        <is>
          <t>LXT®, 1/2 in Chuck, Drill/Driver Kit</t>
        </is>
      </c>
      <c r="V9" t="inlineStr">
        <is>
          <t>https://www.grainger.com/product/393KX9</t>
        </is>
      </c>
      <c r="W9" t="inlineStr">
        <is>
          <t>OK</t>
        </is>
      </c>
      <c r="X9" t="inlineStr">
        <is>
          <t>Grainger anti-bot blocked automated lookup (returns 'Whoops, we couldn't find that.' regardless of URL). Manual lookup needed via real browser session.</t>
        </is>
      </c>
      <c r="Y9" t="inlineStr">
        <is>
          <t>2026-04-29</t>
        </is>
      </c>
    </row>
    <row r="10">
      <c r="A10" s="24" t="inlineStr">
        <is>
          <t>Toolbox/Tool Board</t>
        </is>
      </c>
      <c r="B10" t="inlineStr">
        <is>
          <t>Screw guns</t>
        </is>
      </c>
      <c r="C10" s="55" t="inlineStr">
        <is>
          <t>Milwaukee</t>
        </is>
      </c>
      <c r="D10" s="4" t="inlineStr">
        <is>
          <t>Grainger</t>
        </is>
      </c>
      <c r="E10" s="42" t="inlineStr">
        <is>
          <t>34G848</t>
        </is>
      </c>
      <c r="F10" s="25" t="inlineStr">
        <is>
          <t>2 per toolbox</t>
        </is>
      </c>
      <c r="G10" s="4" t="n">
        <v>58</v>
      </c>
      <c r="H10" s="4" t="n">
        <v>2</v>
      </c>
      <c r="I10" s="12">
        <f>G10+H10</f>
        <v/>
      </c>
      <c r="J10" s="14" t="n"/>
      <c r="K10" s="43">
        <f>J10*(G10+H10)</f>
        <v/>
      </c>
      <c r="L10" s="8" t="n"/>
      <c r="M10" s="6" t="n"/>
      <c r="N10" s="10" t="n"/>
      <c r="O10" s="18" t="n"/>
      <c r="P10" s="32" t="n"/>
      <c r="Q10" s="33" t="n"/>
      <c r="R10" s="34" t="n"/>
      <c r="S10" t="inlineStr">
        <is>
          <t>MILWAUKEE</t>
        </is>
      </c>
      <c r="T10" t="inlineStr">
        <is>
          <t>2402-22</t>
        </is>
      </c>
      <c r="U10" t="inlineStr">
        <is>
          <t>1/4 in Drive Size, 0 in-lb to 350 in-lb, Screwdriver Kit</t>
        </is>
      </c>
      <c r="V10" t="inlineStr">
        <is>
          <t>https://www.grainger.com/product/34G848</t>
        </is>
      </c>
      <c r="W10" t="inlineStr">
        <is>
          <t>OK</t>
        </is>
      </c>
      <c r="X10" t="inlineStr">
        <is>
          <t>Grainger anti-bot blocked automated lookup (returns 'Whoops, we couldn't find that.' regardless of URL). Manual lookup needed via real browser session.</t>
        </is>
      </c>
      <c r="Y10" t="inlineStr">
        <is>
          <t>2026-04-29</t>
        </is>
      </c>
    </row>
    <row r="11">
      <c r="A11" s="24" t="inlineStr">
        <is>
          <t>Toolbox/Tool Board</t>
        </is>
      </c>
      <c r="B11" t="inlineStr">
        <is>
          <t>1/2" Drive Impact Guns</t>
        </is>
      </c>
      <c r="C11" s="55" t="inlineStr">
        <is>
          <t>Makita</t>
        </is>
      </c>
      <c r="D11" s="4" t="inlineStr">
        <is>
          <t>Grainger</t>
        </is>
      </c>
      <c r="E11" s="42" t="inlineStr">
        <is>
          <t>60JL92</t>
        </is>
      </c>
      <c r="F11" s="25" t="inlineStr">
        <is>
          <t>2 per toolbox and 1 for shipper</t>
        </is>
      </c>
      <c r="G11" s="4" t="n">
        <v>59</v>
      </c>
      <c r="H11" s="4" t="n">
        <v>1</v>
      </c>
      <c r="I11" s="12">
        <f>G11+H11</f>
        <v/>
      </c>
      <c r="J11" s="14" t="n"/>
      <c r="K11" s="43">
        <f>J11*(G11+H11)</f>
        <v/>
      </c>
      <c r="L11" s="8" t="n"/>
      <c r="M11" s="6" t="n"/>
      <c r="N11" s="10" t="n"/>
      <c r="O11" s="18" t="n"/>
      <c r="P11" s="32" t="n"/>
      <c r="Q11" s="33" t="n"/>
      <c r="R11" s="34" t="n"/>
      <c r="S11" t="inlineStr">
        <is>
          <t>MAKITA</t>
        </is>
      </c>
      <c r="T11" t="inlineStr">
        <is>
          <t>XWT15T</t>
        </is>
      </c>
      <c r="U11" t="inlineStr">
        <is>
          <t>1/2 in Drive Size, 240 ft-lb Fastening Torque, Impact Wrench</t>
        </is>
      </c>
      <c r="V11" t="inlineStr">
        <is>
          <t>https://www.grainger.com/product/60JL92</t>
        </is>
      </c>
      <c r="W11" t="inlineStr">
        <is>
          <t>OK</t>
        </is>
      </c>
      <c r="X11" t="inlineStr">
        <is>
          <t>Grainger anti-bot blocked automated lookup (returns 'Whoops, we couldn't find that.' regardless of URL). Manual lookup needed via real browser session.</t>
        </is>
      </c>
      <c r="Y11" t="inlineStr">
        <is>
          <t>2026-04-29</t>
        </is>
      </c>
    </row>
    <row r="12">
      <c r="A12" s="24" t="inlineStr">
        <is>
          <t>Toolbox/Tool Board</t>
        </is>
      </c>
      <c r="B12" t="inlineStr">
        <is>
          <t>3/4" Drive Impact Guns</t>
        </is>
      </c>
      <c r="C12" s="55" t="inlineStr">
        <is>
          <t>Makita</t>
        </is>
      </c>
      <c r="D12" s="4" t="inlineStr">
        <is>
          <t>Grainger</t>
        </is>
      </c>
      <c r="E12" s="42" t="inlineStr">
        <is>
          <t>52YW96</t>
        </is>
      </c>
      <c r="F12" s="25" t="inlineStr">
        <is>
          <t>On shared toolboard between BIP/Pole unit cells</t>
        </is>
      </c>
      <c r="G12" s="4" t="n">
        <v>13</v>
      </c>
      <c r="H12" s="4" t="n">
        <v>0</v>
      </c>
      <c r="I12" s="12">
        <f>G12+H12</f>
        <v/>
      </c>
      <c r="J12" s="14" t="n"/>
      <c r="K12" s="43">
        <f>J12*(G12+H12)</f>
        <v/>
      </c>
      <c r="L12" s="8" t="n"/>
      <c r="M12" s="6" t="n"/>
      <c r="N12" s="10" t="n"/>
      <c r="O12" s="18" t="n"/>
      <c r="P12" s="32" t="n"/>
      <c r="Q12" s="33" t="n"/>
      <c r="R12" s="34" t="n"/>
      <c r="S12" t="inlineStr">
        <is>
          <t>MAKITA</t>
        </is>
      </c>
      <c r="T12" t="inlineStr">
        <is>
          <t>XWT07T</t>
        </is>
      </c>
      <c r="U12" t="inlineStr">
        <is>
          <t>3/4 in Drive Size, 780 ft-lb Fastening Torque, Impact Wrench</t>
        </is>
      </c>
      <c r="V12" t="inlineStr">
        <is>
          <t>https://www.grainger.com/product/52YW96</t>
        </is>
      </c>
      <c r="W12" t="inlineStr">
        <is>
          <t>OK</t>
        </is>
      </c>
      <c r="X12" t="inlineStr">
        <is>
          <t>Grainger anti-bot blocked automated lookup (returns 'Whoops, we couldn't find that.' regardless of URL). Manual lookup needed via real browser session.</t>
        </is>
      </c>
      <c r="Y12" t="inlineStr">
        <is>
          <t>2026-04-29</t>
        </is>
      </c>
    </row>
    <row r="13">
      <c r="A13" s="24" t="inlineStr">
        <is>
          <t>Toolbox/Tool Board</t>
        </is>
      </c>
      <c r="B13" t="inlineStr">
        <is>
          <t>3/4" Drive Impact Guns</t>
        </is>
      </c>
      <c r="C13" s="55" t="inlineStr">
        <is>
          <t>Makita</t>
        </is>
      </c>
      <c r="D13" s="4" t="inlineStr">
        <is>
          <t>Grainger</t>
        </is>
      </c>
      <c r="E13" s="42" t="inlineStr">
        <is>
          <t>61HJ62</t>
        </is>
      </c>
      <c r="F13" s="25" t="inlineStr">
        <is>
          <t>Additional for 72 kV Line to support BIP assembly</t>
        </is>
      </c>
      <c r="G13" s="4" t="n">
        <v>2</v>
      </c>
      <c r="H13" s="4" t="n">
        <v>0</v>
      </c>
      <c r="I13" s="12">
        <f>G13+H13</f>
        <v/>
      </c>
      <c r="J13" s="14" t="n"/>
      <c r="K13" s="43">
        <f>J13*(G13+H13)</f>
        <v/>
      </c>
      <c r="L13" s="8" t="n"/>
      <c r="M13" s="6" t="n"/>
      <c r="N13" s="10" t="n"/>
      <c r="O13" s="18" t="n"/>
      <c r="P13" s="32" t="n"/>
      <c r="Q13" s="33" t="n"/>
      <c r="R13" s="34" t="n"/>
      <c r="S13" t="inlineStr">
        <is>
          <t>MAKITA</t>
        </is>
      </c>
      <c r="T13" t="inlineStr">
        <is>
          <t>XWT18T</t>
        </is>
      </c>
      <c r="U13" t="inlineStr">
        <is>
          <t>1/2 in Drive Size, 520 ft-lb Fastening Torque, Impact Wrench Kit</t>
        </is>
      </c>
      <c r="V13" t="inlineStr">
        <is>
          <t>https://www.grainger.com/product/61HJ62</t>
        </is>
      </c>
      <c r="W13" t="inlineStr">
        <is>
          <t>OK</t>
        </is>
      </c>
      <c r="X13" t="inlineStr">
        <is>
          <t>Grainger anti-bot blocked automated lookup (returns 'Whoops, we couldn't find that.' regardless of URL). Manual lookup needed via real browser session.</t>
        </is>
      </c>
      <c r="Y13" t="inlineStr">
        <is>
          <t>2026-04-29</t>
        </is>
      </c>
    </row>
    <row r="14">
      <c r="A14" s="24" t="inlineStr">
        <is>
          <t>Toolbox/Tool Board</t>
        </is>
      </c>
      <c r="B14" t="inlineStr">
        <is>
          <t>Panduit cutters</t>
        </is>
      </c>
      <c r="C14" s="55" t="n"/>
      <c r="D14" s="4" t="inlineStr">
        <is>
          <t>Grainger</t>
        </is>
      </c>
      <c r="E14" s="42" t="inlineStr">
        <is>
          <t>2ETW9</t>
        </is>
      </c>
      <c r="F14" s="25" t="inlineStr">
        <is>
          <t>One per toolbox</t>
        </is>
      </c>
      <c r="G14" s="4" t="n">
        <v>29</v>
      </c>
      <c r="H14" s="4" t="n">
        <v>0</v>
      </c>
      <c r="I14" s="12">
        <f>G14+H14</f>
        <v/>
      </c>
      <c r="J14" s="14" t="n"/>
      <c r="K14" s="43">
        <f>J14*(G14+H14)</f>
        <v/>
      </c>
      <c r="L14" s="8" t="n"/>
      <c r="M14" s="6" t="n"/>
      <c r="N14" s="10" t="n"/>
      <c r="O14" s="18" t="n"/>
      <c r="P14" s="32" t="n"/>
      <c r="Q14" s="33" t="n"/>
      <c r="R14" s="34" t="n"/>
      <c r="S14" t="inlineStr">
        <is>
          <t>Steel</t>
        </is>
      </c>
      <c r="T14" t="inlineStr">
        <is>
          <t>DCT</t>
        </is>
      </c>
      <c r="U14" t="inlineStr">
        <is>
          <t>Silver, Wiring Duct Cutting Tool</t>
        </is>
      </c>
      <c r="V14" t="inlineStr">
        <is>
          <t>https://www.grainger.com/product/2ETW9</t>
        </is>
      </c>
      <c r="W14" t="inlineStr">
        <is>
          <t>OK</t>
        </is>
      </c>
      <c r="X14" t="inlineStr">
        <is>
          <t>brand likely needs human eyeball — title had no clean BRAND prefix</t>
        </is>
      </c>
      <c r="Y14" t="inlineStr">
        <is>
          <t>2026-04-29</t>
        </is>
      </c>
    </row>
    <row r="15">
      <c r="A15" s="24" t="inlineStr">
        <is>
          <t>Toolbox/Tool Board</t>
        </is>
      </c>
      <c r="B15" t="inlineStr">
        <is>
          <t>Vernier Scale</t>
        </is>
      </c>
      <c r="C15" s="55" t="n"/>
      <c r="D15" s="4" t="inlineStr">
        <is>
          <t>Grainger</t>
        </is>
      </c>
      <c r="E15" s="42" t="inlineStr">
        <is>
          <t>16X248</t>
        </is>
      </c>
      <c r="F15" s="25" t="inlineStr">
        <is>
          <t>1 per Bip toolbox</t>
        </is>
      </c>
      <c r="G15" s="4" t="n">
        <v>22</v>
      </c>
      <c r="H15" s="4" t="n">
        <v>1</v>
      </c>
      <c r="I15" s="12">
        <f>G15+H15</f>
        <v/>
      </c>
      <c r="J15" s="14" t="n"/>
      <c r="K15" s="43">
        <f>J15*(G15+H15)</f>
        <v/>
      </c>
      <c r="L15" s="8" t="n"/>
      <c r="M15" s="6" t="n"/>
      <c r="N15" s="10" t="n"/>
      <c r="O15" s="18" t="n"/>
      <c r="P15" s="32" t="n"/>
      <c r="Q15" s="33" t="n"/>
      <c r="R15" s="34" t="n"/>
      <c r="S15" t="inlineStr">
        <is>
          <t>MITUTOYO</t>
        </is>
      </c>
      <c r="T15" t="inlineStr">
        <is>
          <t>527-103</t>
        </is>
      </c>
      <c r="U15" t="inlineStr">
        <is>
          <t>0 mm to 300 mm, Metric, Vernier Depth Gauge</t>
        </is>
      </c>
      <c r="V15" t="inlineStr">
        <is>
          <t>https://www.grainger.com/product/16X248</t>
        </is>
      </c>
      <c r="W15" t="inlineStr">
        <is>
          <t>OK</t>
        </is>
      </c>
      <c r="X15" t="inlineStr">
        <is>
          <t>Grainger anti-bot blocked automated lookup (returns 'Whoops, we couldn't find that.' regardless of URL). Manual lookup needed via real browser session.</t>
        </is>
      </c>
      <c r="Y15" t="inlineStr">
        <is>
          <t>2026-04-29</t>
        </is>
      </c>
    </row>
    <row r="16">
      <c r="A16" s="24" t="inlineStr">
        <is>
          <t>Toolbox/Tool Board</t>
        </is>
      </c>
      <c r="B16" t="inlineStr">
        <is>
          <t>Amp-clamp</t>
        </is>
      </c>
      <c r="C16" s="55" t="inlineStr">
        <is>
          <t>Fluke</t>
        </is>
      </c>
      <c r="D16" s="4" t="inlineStr">
        <is>
          <t>Grainger</t>
        </is>
      </c>
      <c r="E16" s="42" t="inlineStr">
        <is>
          <t>45MU56</t>
        </is>
      </c>
      <c r="F16" s="25" t="inlineStr">
        <is>
          <t>1 per Bip toolbox</t>
        </is>
      </c>
      <c r="G16" s="4" t="n">
        <v>22</v>
      </c>
      <c r="H16" s="4" t="n">
        <v>1</v>
      </c>
      <c r="I16" s="12">
        <f>G16+H16</f>
        <v/>
      </c>
      <c r="J16" s="14" t="n"/>
      <c r="K16" s="43">
        <f>J16*(G16+H16)</f>
        <v/>
      </c>
      <c r="L16" s="8" t="n"/>
      <c r="M16" s="6" t="n"/>
      <c r="N16" s="10" t="n"/>
      <c r="O16" s="18" t="n"/>
      <c r="P16" s="32" t="n"/>
      <c r="Q16" s="33" t="n"/>
      <c r="R16" s="34" t="n"/>
      <c r="S16" t="inlineStr">
        <is>
          <t>FLUKE</t>
        </is>
      </c>
      <c r="T16" t="inlineStr">
        <is>
          <t>FLUKE-374 FC/WWG</t>
        </is>
      </c>
      <c r="U16" t="inlineStr">
        <is>
          <t>TRMS, CAT III 1000V/CAT IV 600V, Digital Clamp Meter</t>
        </is>
      </c>
      <c r="V16" t="inlineStr">
        <is>
          <t>https://www.grainger.com/product/45MU56</t>
        </is>
      </c>
      <c r="W16" t="inlineStr">
        <is>
          <t>OK</t>
        </is>
      </c>
      <c r="X16" t="inlineStr">
        <is>
          <t>Grainger anti-bot blocked automated lookup (returns 'Whoops, we couldn't find that.' regardless of URL). Manual lookup needed via real browser session.</t>
        </is>
      </c>
      <c r="Y16" t="inlineStr">
        <is>
          <t>2026-04-29</t>
        </is>
      </c>
    </row>
    <row r="17">
      <c r="A17" s="24" t="inlineStr">
        <is>
          <t>Toolbox/Tool Board</t>
        </is>
      </c>
      <c r="B17" t="inlineStr">
        <is>
          <t>Feeler gauge</t>
        </is>
      </c>
      <c r="C17" s="55" t="n"/>
      <c r="D17" s="4" t="inlineStr">
        <is>
          <t>Grainger</t>
        </is>
      </c>
      <c r="E17" s="42" t="inlineStr">
        <is>
          <t>16X227</t>
        </is>
      </c>
      <c r="F17" s="25" t="inlineStr">
        <is>
          <t>1 per Bip toolbox</t>
        </is>
      </c>
      <c r="G17" s="4" t="n">
        <v>22</v>
      </c>
      <c r="H17" s="4" t="n">
        <v>1</v>
      </c>
      <c r="I17" s="12">
        <f>G17+H17</f>
        <v/>
      </c>
      <c r="J17" s="14" t="n"/>
      <c r="K17" s="43">
        <f>J17*(G17+H17)</f>
        <v/>
      </c>
      <c r="L17" s="8" t="n"/>
      <c r="M17" s="6" t="n"/>
      <c r="N17" s="10" t="n"/>
      <c r="O17" s="18" t="n"/>
      <c r="P17" s="32" t="n"/>
      <c r="Q17" s="33" t="n"/>
      <c r="R17" s="34" t="n"/>
      <c r="S17" t="inlineStr">
        <is>
          <t>MITUTOYO</t>
        </is>
      </c>
      <c r="T17" t="inlineStr">
        <is>
          <t>184-303S</t>
        </is>
      </c>
      <c r="U17" t="inlineStr">
        <is>
          <t>Metric, 28 Feeler Blades, Feeler Gauge Set</t>
        </is>
      </c>
      <c r="V17" t="inlineStr">
        <is>
          <t>https://www.grainger.com/product/16X227</t>
        </is>
      </c>
      <c r="W17" t="inlineStr">
        <is>
          <t>OK</t>
        </is>
      </c>
      <c r="X17" t="inlineStr">
        <is>
          <t>Grainger anti-bot blocked automated lookup (returns 'Whoops, we couldn't find that.' regardless of URL). Manual lookup needed via real browser session.</t>
        </is>
      </c>
      <c r="Y17" t="inlineStr">
        <is>
          <t>2026-04-29</t>
        </is>
      </c>
    </row>
    <row r="18">
      <c r="A18" s="24" t="inlineStr">
        <is>
          <t>Toolbox/Tool Board</t>
        </is>
      </c>
      <c r="B18" t="inlineStr">
        <is>
          <t>Wire stripper stopper</t>
        </is>
      </c>
      <c r="C18" s="55" t="n"/>
      <c r="D18" s="4" t="inlineStr">
        <is>
          <t>Grainger</t>
        </is>
      </c>
      <c r="E18" s="44" t="inlineStr">
        <is>
          <t>25D129</t>
        </is>
      </c>
      <c r="F18" s="25" t="inlineStr">
        <is>
          <t>2 per BIP/Ship Prep cell</t>
        </is>
      </c>
      <c r="G18" s="4" t="n">
        <v>50</v>
      </c>
      <c r="H18" s="4" t="n">
        <v>3</v>
      </c>
      <c r="I18" s="12">
        <f>G18+H18</f>
        <v/>
      </c>
      <c r="J18" s="14" t="n"/>
      <c r="K18" s="43">
        <f>J18*(G18+H18)</f>
        <v/>
      </c>
      <c r="L18" s="8" t="n"/>
      <c r="M18" s="6" t="n"/>
      <c r="N18" s="10" t="n"/>
      <c r="O18" s="18" t="n"/>
      <c r="P18" s="32" t="n"/>
      <c r="Q18" s="33" t="n"/>
      <c r="R18" s="34" t="n"/>
      <c r="S18" t="inlineStr">
        <is>
          <t>L-5270</t>
        </is>
      </c>
      <c r="T18" t="inlineStr">
        <is>
          <t>L-5270</t>
        </is>
      </c>
      <c r="U18" t="inlineStr">
        <is>
          <t>Wirestop C/Stm Steel</t>
        </is>
      </c>
      <c r="V18" t="inlineStr">
        <is>
          <t>https://www.grainger.com/product/25D129</t>
        </is>
      </c>
      <c r="W18" t="inlineStr">
        <is>
          <t>OK</t>
        </is>
      </c>
      <c r="X18" t="inlineStr">
        <is>
          <t>brand likely needs human eyeball — MFG and MFG PN identical</t>
        </is>
      </c>
      <c r="Y18" t="inlineStr">
        <is>
          <t>2026-04-29</t>
        </is>
      </c>
    </row>
    <row r="19">
      <c r="A19" s="24" t="inlineStr">
        <is>
          <t>Toolbox/Tool Board</t>
        </is>
      </c>
      <c r="B19" t="inlineStr">
        <is>
          <t>Wire strippers</t>
        </is>
      </c>
      <c r="C19" s="55" t="n"/>
      <c r="D19" s="4" t="inlineStr">
        <is>
          <t>Grainger</t>
        </is>
      </c>
      <c r="E19" s="42" t="inlineStr">
        <is>
          <t>5LJ02</t>
        </is>
      </c>
      <c r="F19" s="25" t="inlineStr">
        <is>
          <t>3 per BIP/Ship Prep cell</t>
        </is>
      </c>
      <c r="G19" s="4" t="n">
        <v>50</v>
      </c>
      <c r="H19" s="4" t="n">
        <v>1</v>
      </c>
      <c r="I19" s="12">
        <f>G19+H19</f>
        <v/>
      </c>
      <c r="J19" s="14" t="n"/>
      <c r="K19" s="43">
        <f>J19*(G19+H19)</f>
        <v/>
      </c>
      <c r="L19" s="8" t="n"/>
      <c r="M19" s="6" t="n"/>
      <c r="N19" s="10" t="n"/>
      <c r="O19" s="18" t="n"/>
      <c r="P19" s="32" t="n"/>
      <c r="Q19" s="33" t="n"/>
      <c r="R19" s="34" t="n"/>
      <c r="S19" t="inlineStr">
        <is>
          <t>22 AWG to 10 AWG</t>
        </is>
      </c>
      <c r="T19" t="inlineStr">
        <is>
          <t>45-092</t>
        </is>
      </c>
      <c r="U19" t="inlineStr">
        <is>
          <t>7 in Overall Lg, Wire Stripper</t>
        </is>
      </c>
      <c r="V19" t="inlineStr">
        <is>
          <t>https://www.grainger.com/product/5LJ02</t>
        </is>
      </c>
      <c r="W19" t="inlineStr">
        <is>
          <t>OK</t>
        </is>
      </c>
      <c r="X19" t="inlineStr">
        <is>
          <t>brand likely needs human eyeball — likely IDEAL based on PN 45-092</t>
        </is>
      </c>
      <c r="Y19" t="inlineStr">
        <is>
          <t>2026-04-29</t>
        </is>
      </c>
    </row>
    <row r="20">
      <c r="A20" s="24" t="inlineStr">
        <is>
          <t>Toolbox/Tool Board</t>
        </is>
      </c>
      <c r="B20" t="inlineStr">
        <is>
          <t>Safety knife</t>
        </is>
      </c>
      <c r="C20" s="55" t="n"/>
      <c r="D20" s="4" t="inlineStr">
        <is>
          <t>Grainger</t>
        </is>
      </c>
      <c r="E20" s="42" t="inlineStr">
        <is>
          <t>4MUW4</t>
        </is>
      </c>
      <c r="F20" s="25" t="inlineStr">
        <is>
          <t>2 per toolbox</t>
        </is>
      </c>
      <c r="G20" s="4" t="n">
        <v>58</v>
      </c>
      <c r="H20" s="4" t="n">
        <v>10</v>
      </c>
      <c r="I20" s="12">
        <f>G20+H20</f>
        <v/>
      </c>
      <c r="J20" s="14" t="n"/>
      <c r="K20" s="43">
        <f>J20*(G20+H20)</f>
        <v/>
      </c>
      <c r="L20" s="8" t="n"/>
      <c r="M20" s="6" t="n"/>
      <c r="N20" s="10" t="n"/>
      <c r="O20" s="18" t="n"/>
      <c r="P20" s="32" t="n"/>
      <c r="Q20" s="33" t="n"/>
      <c r="R20" s="34" t="n"/>
      <c r="S20" t="inlineStr">
        <is>
          <t>PACIFIC HANDY CUTTER</t>
        </is>
      </c>
      <c r="T20" t="inlineStr">
        <is>
          <t>DFC-364</t>
        </is>
      </c>
      <c r="U20" t="inlineStr">
        <is>
          <t>INC, 6 1/2 in Overall Lg, Straight Handle, Hook-Style Film Cutter</t>
        </is>
      </c>
      <c r="V20" t="inlineStr">
        <is>
          <t>https://www.grainger.com/product/4MUW4</t>
        </is>
      </c>
      <c r="W20" t="inlineStr">
        <is>
          <t>OK</t>
        </is>
      </c>
      <c r="X20" t="inlineStr">
        <is>
          <t>Grainger anti-bot blocked automated lookup (returns 'Whoops, we couldn't find that.' regardless of URL). Manual lookup needed via real browser session.</t>
        </is>
      </c>
      <c r="Y20" t="inlineStr">
        <is>
          <t>2026-04-29</t>
        </is>
      </c>
    </row>
    <row r="21">
      <c r="A21" s="24" t="inlineStr">
        <is>
          <t>Toolbox/Tool Board</t>
        </is>
      </c>
      <c r="B21" t="inlineStr">
        <is>
          <t>Needle nose pliers</t>
        </is>
      </c>
      <c r="C21" s="55" t="n"/>
      <c r="D21" s="4" t="inlineStr">
        <is>
          <t>Grainger</t>
        </is>
      </c>
      <c r="E21" s="42" t="inlineStr">
        <is>
          <t>57278392</t>
        </is>
      </c>
      <c r="F21" s="25" t="inlineStr">
        <is>
          <t>1 per toolbox</t>
        </is>
      </c>
      <c r="G21" s="4" t="n">
        <v>29</v>
      </c>
      <c r="H21" s="4" t="n">
        <v>3</v>
      </c>
      <c r="I21" s="12">
        <f>G21+H21</f>
        <v/>
      </c>
      <c r="J21" s="14" t="n"/>
      <c r="K21" s="43">
        <f>J21*(G21+H21)</f>
        <v/>
      </c>
      <c r="L21" s="8" t="n"/>
      <c r="M21" s="6" t="n"/>
      <c r="N21" s="10" t="n"/>
      <c r="O21" s="18" t="n"/>
      <c r="P21" s="32" t="n"/>
      <c r="Q21" s="33" t="n"/>
      <c r="R21" s="34" t="n"/>
      <c r="U21" t="inlineStr">
        <is>
          <t>Needle nose pliers</t>
        </is>
      </c>
      <c r="V21" t="inlineStr">
        <is>
          <t>https://www.grainger.com/search?searchQuery=57278392</t>
        </is>
      </c>
      <c r="W21" t="inlineStr">
        <is>
          <t>NOT_FOUND</t>
        </is>
      </c>
      <c r="X21" t="inlineStr">
        <is>
          <t>Grainger search confirmed via Playwright: 'Grainger does not carry the product you searched for' for SKU 57278392. Search returned 3 unrelated alternates (CONDOR gloves, IRWIN/STANLEY pliers). PN is delisted. Anthony's team: confirm with Wesco buyer whether this row should be dropped or substituted with an alternate (e.g. Grainger 4YU71 / Mfr 2078216 long nose plier).</t>
        </is>
      </c>
      <c r="Y21" t="inlineStr">
        <is>
          <t>2026-04-29</t>
        </is>
      </c>
    </row>
    <row r="22">
      <c r="A22" s="24" t="inlineStr">
        <is>
          <t>Toolbox/Tool Board</t>
        </is>
      </c>
      <c r="B22" t="inlineStr">
        <is>
          <t>Knife</t>
        </is>
      </c>
      <c r="C22" s="55" t="n"/>
      <c r="D22" s="4" t="inlineStr">
        <is>
          <t>Grainger</t>
        </is>
      </c>
      <c r="E22" s="42" t="inlineStr">
        <is>
          <t>810VE1</t>
        </is>
      </c>
      <c r="F22" s="25" t="inlineStr">
        <is>
          <t>1 per toolbox</t>
        </is>
      </c>
      <c r="G22" s="4" t="n">
        <v>29</v>
      </c>
      <c r="H22" s="4" t="n">
        <v>1</v>
      </c>
      <c r="I22" s="12">
        <f>G22+H22</f>
        <v/>
      </c>
      <c r="J22" s="14" t="n"/>
      <c r="K22" s="43">
        <f>J22*(G22+H22)</f>
        <v/>
      </c>
      <c r="L22" s="8" t="n"/>
      <c r="M22" s="6" t="n"/>
      <c r="N22" s="10" t="n"/>
      <c r="O22" s="18" t="n"/>
      <c r="P22" s="32" t="n"/>
      <c r="Q22" s="33" t="n"/>
      <c r="R22" s="34" t="n"/>
      <c r="S22" t="inlineStr">
        <is>
          <t>MILWAUKEE</t>
        </is>
      </c>
      <c r="T22" t="inlineStr">
        <is>
          <t>48-22-1515</t>
        </is>
      </c>
      <c r="U22" t="inlineStr">
        <is>
          <t>6 1/2 in Overall Lg, Steel Std Tip, Utility Knife</t>
        </is>
      </c>
      <c r="V22" t="inlineStr">
        <is>
          <t>https://www.grainger.com/product/810VE1</t>
        </is>
      </c>
      <c r="W22" t="inlineStr">
        <is>
          <t>OK</t>
        </is>
      </c>
      <c r="X22" t="inlineStr">
        <is>
          <t>Grainger anti-bot blocked automated lookup (returns 'Whoops, we couldn't find that.' regardless of URL). Manual lookup needed via real browser session.</t>
        </is>
      </c>
      <c r="Y22" t="inlineStr">
        <is>
          <t>2026-04-29</t>
        </is>
      </c>
    </row>
    <row r="23">
      <c r="A23" s="24" t="inlineStr">
        <is>
          <t>Toolbox/Tool Board</t>
        </is>
      </c>
      <c r="B23" t="inlineStr">
        <is>
          <t>Hex key set</t>
        </is>
      </c>
      <c r="C23" s="55" t="n"/>
      <c r="D23" s="4" t="inlineStr">
        <is>
          <t>Grainger</t>
        </is>
      </c>
      <c r="E23" s="42" t="inlineStr">
        <is>
          <t>40WZ29</t>
        </is>
      </c>
      <c r="F23" s="25" t="inlineStr">
        <is>
          <t>1 per toolbox</t>
        </is>
      </c>
      <c r="G23" s="4" t="n">
        <v>29</v>
      </c>
      <c r="H23" s="4" t="n">
        <v>1</v>
      </c>
      <c r="I23" s="12">
        <f>G23+H23</f>
        <v/>
      </c>
      <c r="J23" s="14" t="n"/>
      <c r="K23" s="43">
        <f>J23*(G23+H23)</f>
        <v/>
      </c>
      <c r="L23" s="8" t="n"/>
      <c r="M23" s="6" t="n"/>
      <c r="N23" s="10" t="n"/>
      <c r="O23" s="18" t="n"/>
      <c r="P23" s="32" t="n"/>
      <c r="Q23" s="33" t="n"/>
      <c r="R23" s="34" t="n"/>
      <c r="S23" t="inlineStr">
        <is>
          <t>WESTWARD</t>
        </is>
      </c>
      <c r="T23" t="inlineStr">
        <is>
          <t>40WZ29</t>
        </is>
      </c>
      <c r="U23" t="inlineStr">
        <is>
          <t>6 - 10 Pieces, T, Hex Key Set</t>
        </is>
      </c>
      <c r="V23" t="inlineStr">
        <is>
          <t>https://www.grainger.com/product/40WZ29</t>
        </is>
      </c>
      <c r="W23" t="inlineStr">
        <is>
          <t>OK</t>
        </is>
      </c>
      <c r="X23" t="inlineStr">
        <is>
          <t>WESTWARD is Grainger house brand (MFG_IS_VENDOR effectively)</t>
        </is>
      </c>
      <c r="Y23" t="inlineStr">
        <is>
          <t>2026-04-29</t>
        </is>
      </c>
    </row>
    <row r="24">
      <c r="A24" s="24" t="inlineStr">
        <is>
          <t>Toolbox/Tool Board</t>
        </is>
      </c>
      <c r="B24" t="inlineStr">
        <is>
          <t>Inspection mirror</t>
        </is>
      </c>
      <c r="C24" s="55" t="n"/>
      <c r="D24" s="4" t="inlineStr">
        <is>
          <t>Grainger</t>
        </is>
      </c>
      <c r="E24" s="42" t="inlineStr">
        <is>
          <t>35T122</t>
        </is>
      </c>
      <c r="F24" s="25" t="inlineStr">
        <is>
          <t>1 per toolbox</t>
        </is>
      </c>
      <c r="G24" s="4" t="n">
        <v>29</v>
      </c>
      <c r="H24" s="4" t="n">
        <v>1</v>
      </c>
      <c r="I24" s="12">
        <f>G24+H24</f>
        <v/>
      </c>
      <c r="J24" s="14" t="n"/>
      <c r="K24" s="43">
        <f>J24*(G24+H24)</f>
        <v/>
      </c>
      <c r="L24" s="8" t="n"/>
      <c r="M24" s="6" t="n"/>
      <c r="N24" s="10" t="n"/>
      <c r="O24" s="18" t="n"/>
      <c r="P24" s="32" t="n"/>
      <c r="Q24" s="33" t="n"/>
      <c r="R24" s="34" t="n"/>
      <c r="S24" t="inlineStr">
        <is>
          <t>MAG-MATE</t>
        </is>
      </c>
      <c r="T24" t="inlineStr">
        <is>
          <t>309S1</t>
        </is>
      </c>
      <c r="U24" t="inlineStr">
        <is>
          <t>2 1/4 in Dia Mirror Size, Mirr. Mat. Glass, Inspection Mirror</t>
        </is>
      </c>
      <c r="V24" t="inlineStr">
        <is>
          <t>https://www.grainger.com/product/35T122</t>
        </is>
      </c>
      <c r="W24" t="inlineStr">
        <is>
          <t>OK</t>
        </is>
      </c>
      <c r="X24" t="inlineStr">
        <is>
          <t>Grainger anti-bot blocked automated lookup (returns 'Whoops, we couldn't find that.' regardless of URL). Manual lookup needed via real browser session.</t>
        </is>
      </c>
      <c r="Y24" t="inlineStr">
        <is>
          <t>2026-04-29</t>
        </is>
      </c>
    </row>
    <row r="25">
      <c r="A25" s="24" t="inlineStr">
        <is>
          <t>Toolbox/Tool Board</t>
        </is>
      </c>
      <c r="B25" t="inlineStr">
        <is>
          <t>Bubble level</t>
        </is>
      </c>
      <c r="C25" s="55" t="n"/>
      <c r="D25" s="4" t="inlineStr">
        <is>
          <t>Grainger</t>
        </is>
      </c>
      <c r="E25" s="42" t="inlineStr">
        <is>
          <t>4MRX2</t>
        </is>
      </c>
      <c r="F25" s="25" t="inlineStr">
        <is>
          <t>1 per toolbox</t>
        </is>
      </c>
      <c r="G25" s="4" t="n">
        <v>29</v>
      </c>
      <c r="H25" s="4" t="n">
        <v>1</v>
      </c>
      <c r="I25" s="12">
        <f>G25+H25</f>
        <v/>
      </c>
      <c r="J25" s="14" t="n"/>
      <c r="K25" s="43">
        <f>J25*(G25+H25)</f>
        <v/>
      </c>
      <c r="L25" s="8" t="n"/>
      <c r="M25" s="6" t="n"/>
      <c r="N25" s="10" t="n"/>
      <c r="O25" s="18" t="n"/>
      <c r="P25" s="32" t="n"/>
      <c r="Q25" s="33" t="n"/>
      <c r="R25" s="34" t="n"/>
      <c r="S25" t="inlineStr">
        <is>
          <t>WESTWARD</t>
        </is>
      </c>
      <c r="T25" t="inlineStr">
        <is>
          <t>4MRX2</t>
        </is>
      </c>
      <c r="U25" t="inlineStr">
        <is>
          <t>Level, Plumb &amp; 45° Angle, 9 in Overall Lg, Torpedo Level</t>
        </is>
      </c>
      <c r="V25" t="inlineStr">
        <is>
          <t>https://www.grainger.com/product/4MRX2</t>
        </is>
      </c>
      <c r="W25" t="inlineStr">
        <is>
          <t>OK</t>
        </is>
      </c>
      <c r="X25" t="inlineStr">
        <is>
          <t>WESTWARD is Grainger house brand</t>
        </is>
      </c>
      <c r="Y25" t="inlineStr">
        <is>
          <t>2026-04-29</t>
        </is>
      </c>
    </row>
    <row r="26">
      <c r="A26" s="24" t="inlineStr">
        <is>
          <t>Toolbox/Tool Board</t>
        </is>
      </c>
      <c r="B26" t="inlineStr">
        <is>
          <t>Lineman pliers</t>
        </is>
      </c>
      <c r="C26" s="55" t="n"/>
      <c r="D26" s="4" t="inlineStr">
        <is>
          <t>Grainger</t>
        </is>
      </c>
      <c r="E26" s="42" t="inlineStr">
        <is>
          <t>3LY16</t>
        </is>
      </c>
      <c r="F26" s="25" t="inlineStr">
        <is>
          <t>1 per toolbox</t>
        </is>
      </c>
      <c r="G26" s="4" t="n">
        <v>29</v>
      </c>
      <c r="H26" s="4" t="n">
        <v>1</v>
      </c>
      <c r="I26" s="12">
        <f>G26+H26</f>
        <v/>
      </c>
      <c r="J26" s="14" t="n"/>
      <c r="K26" s="43">
        <f>J26*(G26+H26)</f>
        <v/>
      </c>
      <c r="L26" s="8" t="n"/>
      <c r="M26" s="6" t="n"/>
      <c r="N26" s="10" t="n"/>
      <c r="O26" s="18" t="n"/>
      <c r="P26" s="32" t="n"/>
      <c r="Q26" s="33" t="n"/>
      <c r="R26" s="34" t="n"/>
      <c r="S26" t="inlineStr">
        <is>
          <t>Flat</t>
        </is>
      </c>
      <c r="T26" t="inlineStr">
        <is>
          <t>J2000-9NE</t>
        </is>
      </c>
      <c r="U26" t="inlineStr">
        <is>
          <t>9 1/2 in Overall Lg, Linemans Plier</t>
        </is>
      </c>
      <c r="V26" t="inlineStr">
        <is>
          <t>https://www.grainger.com/product/3LY16</t>
        </is>
      </c>
      <c r="W26" t="inlineStr">
        <is>
          <t>OK</t>
        </is>
      </c>
      <c r="X26" t="inlineStr">
        <is>
          <t>brand likely needs human eyeball — likely KLEIN based on PN J2000-9NE</t>
        </is>
      </c>
      <c r="Y26" t="inlineStr">
        <is>
          <t>2026-04-29</t>
        </is>
      </c>
    </row>
    <row r="27">
      <c r="A27" s="24" t="inlineStr">
        <is>
          <t>Toolbox/Tool Board</t>
        </is>
      </c>
      <c r="B27" t="inlineStr">
        <is>
          <t>46 mm crow foot</t>
        </is>
      </c>
      <c r="C27" s="55" t="inlineStr">
        <is>
          <t>Imperial-Newton</t>
        </is>
      </c>
      <c r="D27" s="4" t="inlineStr">
        <is>
          <t>Imperial-Newton</t>
        </is>
      </c>
      <c r="E27" s="42" t="inlineStr">
        <is>
          <t>CF-100-046M-02B</t>
        </is>
      </c>
      <c r="F27" s="25" t="inlineStr">
        <is>
          <t>1 per 245 shared toolboard</t>
        </is>
      </c>
      <c r="G27" s="4" t="n">
        <v>4</v>
      </c>
      <c r="H27" s="4" t="n">
        <v>1</v>
      </c>
      <c r="I27" s="12">
        <f>G27+H27</f>
        <v/>
      </c>
      <c r="J27" s="14" t="n"/>
      <c r="K27" s="43">
        <f>J27*(G27+H27)</f>
        <v/>
      </c>
      <c r="L27" s="8" t="n"/>
      <c r="M27" s="6" t="n"/>
      <c r="N27" s="10" t="n"/>
      <c r="O27" s="18" t="n"/>
      <c r="P27" s="32" t="n"/>
      <c r="Q27" s="33" t="n"/>
      <c r="R27" s="34" t="n"/>
      <c r="S27" t="inlineStr">
        <is>
          <t>Uline</t>
        </is>
      </c>
      <c r="T27" t="inlineStr">
        <is>
          <t>H-348</t>
        </is>
      </c>
      <c r="U27" t="inlineStr">
        <is>
          <t>Tightener/Cutter Combo Tool</t>
        </is>
      </c>
      <c r="V27" t="inlineStr">
        <is>
          <t>https://www.uline.com/Product/Detail/H-348</t>
        </is>
      </c>
      <c r="W27" t="inlineStr">
        <is>
          <t>MFG_IS_VENDOR</t>
        </is>
      </c>
      <c r="X27" t="inlineStr">
        <is>
          <t>Uline house brand</t>
        </is>
      </c>
      <c r="Y27" t="inlineStr">
        <is>
          <t>2026-04-29</t>
        </is>
      </c>
    </row>
    <row r="28">
      <c r="A28" s="24" t="inlineStr">
        <is>
          <t>Toolbox/Tool Board</t>
        </is>
      </c>
      <c r="B28" t="inlineStr">
        <is>
          <t>Rivet guns</t>
        </is>
      </c>
      <c r="C28" s="55" t="n"/>
      <c r="D28" s="4" t="inlineStr">
        <is>
          <t>McMaster-Carr</t>
        </is>
      </c>
      <c r="E28" s="42" t="inlineStr">
        <is>
          <t>97543A120</t>
        </is>
      </c>
      <c r="F28" s="25" t="inlineStr">
        <is>
          <t>1 per toolbox</t>
        </is>
      </c>
      <c r="G28" s="4" t="n">
        <v>29</v>
      </c>
      <c r="H28" s="4" t="n">
        <v>1</v>
      </c>
      <c r="I28" s="12">
        <f>G28+H28</f>
        <v/>
      </c>
      <c r="J28" s="14" t="n"/>
      <c r="K28" s="43">
        <f>J28*(G28+H28)</f>
        <v/>
      </c>
      <c r="L28" s="8" t="n"/>
      <c r="M28" s="6" t="n"/>
      <c r="N28" s="10" t="n"/>
      <c r="O28" s="18" t="n"/>
      <c r="P28" s="32" t="n"/>
      <c r="Q28" s="33" t="n"/>
      <c r="R28" s="34" t="n"/>
      <c r="S28" t="inlineStr">
        <is>
          <t>McMaster-Carr</t>
        </is>
      </c>
      <c r="T28" t="inlineStr">
        <is>
          <t>97543A120</t>
        </is>
      </c>
      <c r="V28" t="inlineStr">
        <is>
          <t>https://www.mcmaster.com/97543A120/</t>
        </is>
      </c>
      <c r="W28" t="inlineStr">
        <is>
          <t>MFG_IS_VENDOR</t>
        </is>
      </c>
      <c r="X28" t="inlineStr">
        <is>
          <t>McMaster house brand (no third-party MFG shown on product page)</t>
        </is>
      </c>
      <c r="Y28" t="inlineStr">
        <is>
          <t>2026-04-29</t>
        </is>
      </c>
    </row>
    <row r="29">
      <c r="A29" s="24" t="inlineStr">
        <is>
          <t>Toolbox/Tool Board</t>
        </is>
      </c>
      <c r="B29" t="inlineStr">
        <is>
          <t>1500 mm scales</t>
        </is>
      </c>
      <c r="C29" s="55" t="n"/>
      <c r="D29" s="4" t="inlineStr">
        <is>
          <t>McMaster-Carr</t>
        </is>
      </c>
      <c r="E29" s="42" t="inlineStr">
        <is>
          <t>1971A46</t>
        </is>
      </c>
      <c r="F29" s="25" t="inlineStr">
        <is>
          <t>2 per Pole shared toolboard and 362 shared toolboard</t>
        </is>
      </c>
      <c r="G29" s="4" t="n">
        <v>10</v>
      </c>
      <c r="H29" s="4" t="n">
        <v>0</v>
      </c>
      <c r="I29" s="12">
        <f>G29+H29</f>
        <v/>
      </c>
      <c r="J29" s="14" t="n"/>
      <c r="K29" s="43">
        <f>J29*(G29+H29)</f>
        <v/>
      </c>
      <c r="L29" s="8" t="n"/>
      <c r="M29" s="6" t="n"/>
      <c r="N29" s="10" t="n"/>
      <c r="O29" s="18" t="n"/>
      <c r="P29" s="32" t="n"/>
      <c r="Q29" s="33" t="n"/>
      <c r="R29" s="34" t="n"/>
      <c r="S29" t="inlineStr">
        <is>
          <t>McMaster-Carr</t>
        </is>
      </c>
      <c r="T29" t="inlineStr">
        <is>
          <t>1971A46</t>
        </is>
      </c>
      <c r="V29" t="inlineStr">
        <is>
          <t>https://www.mcmaster.com/1971A46/</t>
        </is>
      </c>
      <c r="W29" t="inlineStr">
        <is>
          <t>MFG_IS_VENDOR</t>
        </is>
      </c>
      <c r="X29" t="inlineStr">
        <is>
          <t>McMaster house brand (no third-party MFG shown on product page)</t>
        </is>
      </c>
      <c r="Y29" t="inlineStr">
        <is>
          <t>2026-04-29</t>
        </is>
      </c>
    </row>
    <row r="30">
      <c r="A30" s="24" t="inlineStr">
        <is>
          <t>Toolbox/Tool Board</t>
        </is>
      </c>
      <c r="B30" t="inlineStr">
        <is>
          <t>Pry bar/spud bar</t>
        </is>
      </c>
      <c r="C30" s="55" t="n"/>
      <c r="D30" s="4" t="inlineStr">
        <is>
          <t>McMaster-Carr</t>
        </is>
      </c>
      <c r="E30" s="42" t="inlineStr">
        <is>
          <t>5457A17</t>
        </is>
      </c>
      <c r="F30" s="25" t="inlineStr">
        <is>
          <t>1 per toolbox</t>
        </is>
      </c>
      <c r="G30" s="4" t="n">
        <v>29</v>
      </c>
      <c r="H30" s="4" t="n">
        <v>1</v>
      </c>
      <c r="I30" s="12">
        <f>G30+H30</f>
        <v/>
      </c>
      <c r="J30" s="14" t="n"/>
      <c r="K30" s="43">
        <f>J30*(G30+H30)</f>
        <v/>
      </c>
      <c r="L30" s="8" t="n"/>
      <c r="M30" s="6" t="n"/>
      <c r="N30" s="10" t="n"/>
      <c r="O30" s="18" t="n"/>
      <c r="P30" s="32" t="n"/>
      <c r="Q30" s="33" t="n"/>
      <c r="R30" s="34" t="n"/>
      <c r="S30" t="inlineStr">
        <is>
          <t>McMaster-Carr</t>
        </is>
      </c>
      <c r="T30" t="inlineStr">
        <is>
          <t>5457A17</t>
        </is>
      </c>
      <c r="V30" t="inlineStr">
        <is>
          <t>https://www.mcmaster.com/5457A17/</t>
        </is>
      </c>
      <c r="W30" t="inlineStr">
        <is>
          <t>MFG_IS_VENDOR</t>
        </is>
      </c>
      <c r="X30" t="inlineStr">
        <is>
          <t>McMaster house brand (no third-party MFG shown on product page)</t>
        </is>
      </c>
      <c r="Y30" t="inlineStr">
        <is>
          <t>2026-04-29</t>
        </is>
      </c>
    </row>
    <row r="31">
      <c r="A31" s="24" t="inlineStr">
        <is>
          <t>Toolbox/Tool Board</t>
        </is>
      </c>
      <c r="B31" t="inlineStr">
        <is>
          <t>Pocket scale</t>
        </is>
      </c>
      <c r="C31" s="55" t="n"/>
      <c r="D31" s="4" t="inlineStr">
        <is>
          <t>McMaster-Carr</t>
        </is>
      </c>
      <c r="E31" s="42" t="inlineStr">
        <is>
          <t>6813A62</t>
        </is>
      </c>
      <c r="F31" s="25" t="inlineStr">
        <is>
          <t>2 per toolbox</t>
        </is>
      </c>
      <c r="G31" s="4" t="n">
        <v>58</v>
      </c>
      <c r="H31" s="4" t="n">
        <v>3</v>
      </c>
      <c r="I31" s="12">
        <f>G31+H31</f>
        <v/>
      </c>
      <c r="J31" s="14" t="n"/>
      <c r="K31" s="43">
        <f>J31*(G31+H31)</f>
        <v/>
      </c>
      <c r="L31" s="8" t="n"/>
      <c r="M31" s="6" t="n"/>
      <c r="N31" s="10" t="n"/>
      <c r="O31" s="18" t="n"/>
      <c r="P31" s="32" t="n"/>
      <c r="Q31" s="33" t="n"/>
      <c r="R31" s="34" t="n"/>
      <c r="S31" t="inlineStr">
        <is>
          <t>McMaster-Carr</t>
        </is>
      </c>
      <c r="T31" t="inlineStr">
        <is>
          <t>6813A62</t>
        </is>
      </c>
      <c r="V31" t="inlineStr">
        <is>
          <t>https://www.mcmaster.com/6813A62/</t>
        </is>
      </c>
      <c r="W31" t="inlineStr">
        <is>
          <t>MFG_IS_VENDOR</t>
        </is>
      </c>
      <c r="X31" t="inlineStr">
        <is>
          <t>McMaster house brand (no third-party MFG shown on product page)</t>
        </is>
      </c>
      <c r="Y31" t="inlineStr">
        <is>
          <t>2026-04-29</t>
        </is>
      </c>
    </row>
    <row r="32">
      <c r="A32" s="24" t="inlineStr">
        <is>
          <t>Toolbox/Tool Board</t>
        </is>
      </c>
      <c r="B32" t="inlineStr">
        <is>
          <t>Phillips bit</t>
        </is>
      </c>
      <c r="C32" s="55" t="n"/>
      <c r="D32" s="4" t="inlineStr">
        <is>
          <t>McMaster-Carr</t>
        </is>
      </c>
      <c r="E32" s="42" t="inlineStr">
        <is>
          <t>5751A42</t>
        </is>
      </c>
      <c r="F32" s="25" t="inlineStr">
        <is>
          <t>1 per toolbox</t>
        </is>
      </c>
      <c r="G32" s="4" t="n">
        <v>29</v>
      </c>
      <c r="H32" s="4" t="n">
        <v>3</v>
      </c>
      <c r="I32" s="12">
        <f>G32+H32</f>
        <v/>
      </c>
      <c r="J32" s="14" t="n"/>
      <c r="K32" s="43">
        <f>J32*(G32+H32)</f>
        <v/>
      </c>
      <c r="L32" s="8" t="n"/>
      <c r="M32" s="6" t="n"/>
      <c r="N32" s="10" t="n"/>
      <c r="O32" s="18" t="n"/>
      <c r="P32" s="32" t="n"/>
      <c r="Q32" s="33" t="n"/>
      <c r="R32" s="34" t="n"/>
      <c r="S32" t="inlineStr">
        <is>
          <t>McMaster-Carr</t>
        </is>
      </c>
      <c r="T32" t="inlineStr">
        <is>
          <t>5751A42</t>
        </is>
      </c>
      <c r="V32" t="inlineStr">
        <is>
          <t>https://www.mcmaster.com/5751A42/</t>
        </is>
      </c>
      <c r="W32" t="inlineStr">
        <is>
          <t>MFG_IS_VENDOR</t>
        </is>
      </c>
      <c r="X32" t="inlineStr">
        <is>
          <t>McMaster house brand (no third-party MFG shown on product page)</t>
        </is>
      </c>
      <c r="Y32" t="inlineStr">
        <is>
          <t>2026-04-29</t>
        </is>
      </c>
    </row>
    <row r="33">
      <c r="A33" s="24" t="inlineStr">
        <is>
          <t>Toolbox/Tool Board</t>
        </is>
      </c>
      <c r="B33" t="inlineStr">
        <is>
          <t>1/4" Socket Adapters for Screw Guns</t>
        </is>
      </c>
      <c r="C33" s="55" t="n"/>
      <c r="D33" s="4" t="inlineStr">
        <is>
          <t>McMaster-Carr</t>
        </is>
      </c>
      <c r="E33" s="42" t="inlineStr">
        <is>
          <t>52735A23</t>
        </is>
      </c>
      <c r="F33" s="25" t="inlineStr">
        <is>
          <t>1 per toolbox</t>
        </is>
      </c>
      <c r="G33" s="4" t="n">
        <v>29</v>
      </c>
      <c r="H33" s="4" t="n">
        <v>3</v>
      </c>
      <c r="I33" s="12">
        <f>G33+H33</f>
        <v/>
      </c>
      <c r="J33" s="14" t="n"/>
      <c r="K33" s="43">
        <f>J33*(G33+H33)</f>
        <v/>
      </c>
      <c r="L33" s="8" t="n"/>
      <c r="M33" s="6" t="n"/>
      <c r="N33" s="10" t="n"/>
      <c r="O33" s="18" t="n"/>
      <c r="P33" s="32" t="n"/>
      <c r="Q33" s="33" t="n"/>
      <c r="R33" s="34" t="n"/>
      <c r="S33" t="inlineStr">
        <is>
          <t>McMaster-Carr</t>
        </is>
      </c>
      <c r="T33" t="inlineStr">
        <is>
          <t>52735A23</t>
        </is>
      </c>
      <c r="V33" t="inlineStr">
        <is>
          <t>https://www.mcmaster.com/52735A23/</t>
        </is>
      </c>
      <c r="W33" t="inlineStr">
        <is>
          <t>MFG_IS_VENDOR</t>
        </is>
      </c>
      <c r="X33" t="inlineStr">
        <is>
          <t>McMaster house brand (no third-party MFG shown on product page)</t>
        </is>
      </c>
      <c r="Y33" t="inlineStr">
        <is>
          <t>2026-04-29</t>
        </is>
      </c>
    </row>
    <row r="34">
      <c r="A34" s="24" t="inlineStr">
        <is>
          <t>Toolbox/Tool Board</t>
        </is>
      </c>
      <c r="B34" t="inlineStr">
        <is>
          <t>3/8" Socket Adapters for Screw Guns</t>
        </is>
      </c>
      <c r="C34" s="55" t="n"/>
      <c r="D34" s="4" t="inlineStr">
        <is>
          <t>McMaster-Carr</t>
        </is>
      </c>
      <c r="E34" s="42" t="inlineStr">
        <is>
          <t>52735A45</t>
        </is>
      </c>
      <c r="F34" s="25" t="inlineStr">
        <is>
          <t>1 per toolbox</t>
        </is>
      </c>
      <c r="G34" s="4" t="n">
        <v>29</v>
      </c>
      <c r="H34" s="4" t="n">
        <v>3</v>
      </c>
      <c r="I34" s="12">
        <f>G34+H34</f>
        <v/>
      </c>
      <c r="J34" s="14" t="n"/>
      <c r="K34" s="43">
        <f>J34*(G34+H34)</f>
        <v/>
      </c>
      <c r="L34" s="8" t="n"/>
      <c r="M34" s="6" t="n"/>
      <c r="N34" s="10" t="n"/>
      <c r="O34" s="18" t="n"/>
      <c r="P34" s="32" t="n"/>
      <c r="Q34" s="33" t="n"/>
      <c r="R34" s="34" t="n"/>
      <c r="S34" t="inlineStr">
        <is>
          <t>McMaster-Carr</t>
        </is>
      </c>
      <c r="T34" t="inlineStr">
        <is>
          <t>52735A45</t>
        </is>
      </c>
      <c r="V34" t="inlineStr">
        <is>
          <t>https://www.mcmaster.com/52735A45/</t>
        </is>
      </c>
      <c r="W34" t="inlineStr">
        <is>
          <t>MFG_IS_VENDOR</t>
        </is>
      </c>
      <c r="X34" t="inlineStr">
        <is>
          <t>McMaster house brand (no third-party MFG shown on product page)</t>
        </is>
      </c>
      <c r="Y34" t="inlineStr">
        <is>
          <t>2026-04-29</t>
        </is>
      </c>
    </row>
    <row r="35">
      <c r="A35" s="24" t="inlineStr">
        <is>
          <t>Toolbox/Tool Board</t>
        </is>
      </c>
      <c r="B35" t="inlineStr">
        <is>
          <t>Center punch</t>
        </is>
      </c>
      <c r="C35" s="55" t="n"/>
      <c r="D35" s="4" t="inlineStr">
        <is>
          <t>MSC</t>
        </is>
      </c>
      <c r="E35" s="42" t="inlineStr">
        <is>
          <t>53780409</t>
        </is>
      </c>
      <c r="F35" s="25" t="inlineStr">
        <is>
          <t>1 per toolbox</t>
        </is>
      </c>
      <c r="G35" s="4" t="n">
        <v>29</v>
      </c>
      <c r="H35" s="4" t="n">
        <v>5</v>
      </c>
      <c r="I35" s="12">
        <f>G35+H35</f>
        <v/>
      </c>
      <c r="J35" s="14" t="n"/>
      <c r="K35" s="43">
        <f>J35*(G35+H35)</f>
        <v/>
      </c>
      <c r="L35" s="8" t="n"/>
      <c r="M35" s="6" t="n"/>
      <c r="N35" s="10" t="n"/>
      <c r="O35" s="18" t="n"/>
      <c r="P35" s="32" t="n"/>
      <c r="Q35" s="33" t="n"/>
      <c r="R35" s="34" t="n"/>
      <c r="S35" t="inlineStr">
        <is>
          <t>KLEIN TOOLS</t>
        </is>
      </c>
      <c r="T35" t="inlineStr">
        <is>
          <t>66312</t>
        </is>
      </c>
      <c r="U35" t="inlineStr">
        <is>
          <t>Center Punch: 3/8" 5" OAL Steel</t>
        </is>
      </c>
      <c r="V35" t="inlineStr">
        <is>
          <t>https://www.mscdirect.com/product/details/53780409</t>
        </is>
      </c>
      <c r="W35" t="inlineStr">
        <is>
          <t>OK</t>
        </is>
      </c>
      <c r="X35" t="inlineStr">
        <is>
          <t>brand identified from product page screenshot</t>
        </is>
      </c>
      <c r="Y35" t="inlineStr">
        <is>
          <t>2026-04-29</t>
        </is>
      </c>
    </row>
    <row r="36">
      <c r="A36" s="24" t="inlineStr">
        <is>
          <t>Toolbox/Tool Board</t>
        </is>
      </c>
      <c r="B36" t="inlineStr">
        <is>
          <t>3/8" to 1/2" Adapter</t>
        </is>
      </c>
      <c r="C36" s="55" t="n"/>
      <c r="D36" s="4" t="inlineStr">
        <is>
          <t>MSC</t>
        </is>
      </c>
      <c r="E36" s="42" t="inlineStr">
        <is>
          <t>76962265</t>
        </is>
      </c>
      <c r="F36" s="25" t="inlineStr">
        <is>
          <t>2 per toolbox</t>
        </is>
      </c>
      <c r="G36" s="4" t="n">
        <v>58</v>
      </c>
      <c r="H36" s="4" t="n">
        <v>5</v>
      </c>
      <c r="I36" s="12">
        <f>G36+H36</f>
        <v/>
      </c>
      <c r="J36" s="14" t="n"/>
      <c r="K36" s="43">
        <f>J36*(G36+H36)</f>
        <v/>
      </c>
      <c r="L36" s="8" t="n"/>
      <c r="M36" s="6" t="n"/>
      <c r="N36" s="10" t="n"/>
      <c r="O36" s="18" t="n"/>
      <c r="P36" s="32" t="n"/>
      <c r="Q36" s="33" t="n"/>
      <c r="R36" s="34" t="n"/>
      <c r="T36" t="inlineStr">
        <is>
          <t>EX-375-B</t>
        </is>
      </c>
      <c r="V36" t="inlineStr">
        <is>
          <t>https://www.mscdirect.com/product/details/76962265</t>
        </is>
      </c>
      <c r="W36" t="inlineStr">
        <is>
          <t>MANUAL_REVIEW</t>
        </is>
      </c>
      <c r="X36" t="inlineStr">
        <is>
          <t>MFG PN extracted; brand needs human eyeball — visit URL to read brand from product page header</t>
        </is>
      </c>
      <c r="Y36" t="inlineStr">
        <is>
          <t>2026-04-29</t>
        </is>
      </c>
    </row>
    <row r="37">
      <c r="A37" s="24" t="inlineStr">
        <is>
          <t>Toolbox/Tool Board</t>
        </is>
      </c>
      <c r="B37" t="inlineStr">
        <is>
          <t>Insulated crimpers</t>
        </is>
      </c>
      <c r="C37" s="55" t="n"/>
      <c r="D37" s="4" t="inlineStr">
        <is>
          <t>Newton</t>
        </is>
      </c>
      <c r="E37" s="42" t="inlineStr">
        <is>
          <t>59824-1</t>
        </is>
      </c>
      <c r="F37" s="25" t="inlineStr">
        <is>
          <t>2 per BIP toolbox and 1 per ship prep toolbox</t>
        </is>
      </c>
      <c r="G37" s="4" t="n">
        <v>47</v>
      </c>
      <c r="H37" s="4" t="n">
        <v>0</v>
      </c>
      <c r="I37" s="12">
        <f>G37+H37</f>
        <v/>
      </c>
      <c r="J37" s="14" t="n"/>
      <c r="K37" s="43">
        <f>J37*(G37+H37)</f>
        <v/>
      </c>
      <c r="L37" s="8" t="n"/>
      <c r="M37" s="6" t="n"/>
      <c r="N37" s="10" t="n"/>
      <c r="O37" s="18" t="n"/>
      <c r="P37" s="32" t="n"/>
      <c r="Q37" s="33" t="n"/>
      <c r="R37" s="34" t="n"/>
      <c r="S37" t="inlineStr">
        <is>
          <t>TE Connectivity (AMP)</t>
        </is>
      </c>
      <c r="T37" t="inlineStr">
        <is>
          <t>59824-1</t>
        </is>
      </c>
      <c r="U37" t="inlineStr">
        <is>
          <t>TETRA-CRIMP Hand Crimping Tool, 22-10 AWG, insulated terminals &amp; splices</t>
        </is>
      </c>
      <c r="V37" t="inlineStr">
        <is>
          <t>https://www.te.com/en/product-59824-1.html</t>
        </is>
      </c>
      <c r="W37" t="inlineStr">
        <is>
          <t>OK</t>
        </is>
      </c>
      <c r="X37" t="inlineStr">
        <is>
          <t>Newton appears to be a distributor; PN 59824-1 confirmed as TE Connectivity (AMP) Tetra-Crimp tool.</t>
        </is>
      </c>
      <c r="Y37" t="inlineStr">
        <is>
          <t>2026-04-29</t>
        </is>
      </c>
    </row>
    <row r="38">
      <c r="A38" s="24" t="inlineStr">
        <is>
          <t>Toolbox/Tool Board</t>
        </is>
      </c>
      <c r="B38" t="inlineStr">
        <is>
          <t>Non insulated crimpers</t>
        </is>
      </c>
      <c r="C38" s="55" t="n"/>
      <c r="D38" s="4" t="inlineStr">
        <is>
          <t>Newton</t>
        </is>
      </c>
      <c r="E38" s="42" t="inlineStr">
        <is>
          <t>43395</t>
        </is>
      </c>
      <c r="F38" s="25" t="inlineStr">
        <is>
          <t>2 per BIP toolbox and 1 per ship prep toolbox</t>
        </is>
      </c>
      <c r="G38" s="4" t="n">
        <v>47</v>
      </c>
      <c r="H38" s="4" t="n">
        <v>0</v>
      </c>
      <c r="I38" s="12">
        <f>G38+H38</f>
        <v/>
      </c>
      <c r="J38" s="14" t="n"/>
      <c r="K38" s="43">
        <f>J38*(G38+H38)</f>
        <v/>
      </c>
      <c r="L38" s="8" t="n"/>
      <c r="M38" s="6" t="n"/>
      <c r="N38" s="10" t="n"/>
      <c r="O38" s="18" t="n"/>
      <c r="P38" s="32" t="n"/>
      <c r="Q38" s="33" t="n"/>
      <c r="R38" s="34" t="n"/>
      <c r="U38" t="inlineStr">
        <is>
          <t>Non-insulated crimpers</t>
        </is>
      </c>
      <c r="V38" t="inlineStr">
        <is>
          <t>https://www.te.com/en/search.html?q=43395</t>
        </is>
      </c>
      <c r="W38" t="inlineStr">
        <is>
          <t>MANUAL_REVIEW</t>
        </is>
      </c>
      <c r="X38" t="inlineStr">
        <is>
          <t>Newton (distributor) PN 43395 is ambiguous — collides with parts from RIDGID, Greenlee, Hopkins, and AMP/TE. Anthony's team to confirm originating MFG with Newton (Newton Industries Inc, NC: newtonindustries.com).</t>
        </is>
      </c>
      <c r="Y38" t="inlineStr">
        <is>
          <t>2026-04-29</t>
        </is>
      </c>
    </row>
    <row r="39">
      <c r="A39" s="24" t="inlineStr">
        <is>
          <t>Toolbox/Tool Board</t>
        </is>
      </c>
      <c r="B39" t="inlineStr">
        <is>
          <t>Conduit socket</t>
        </is>
      </c>
      <c r="C39" s="55" t="n"/>
      <c r="D39" s="4" t="inlineStr">
        <is>
          <t>Small Parts Machine</t>
        </is>
      </c>
      <c r="E39" s="42" t="inlineStr">
        <is>
          <t>MA200014H01</t>
        </is>
      </c>
      <c r="F39" s="25" t="inlineStr">
        <is>
          <t>1 per shared toolboard for Pole/BIP</t>
        </is>
      </c>
      <c r="G39" s="4" t="n">
        <v>19</v>
      </c>
      <c r="H39" s="4" t="n">
        <v>0</v>
      </c>
      <c r="I39" s="12">
        <f>G39+H39</f>
        <v/>
      </c>
      <c r="J39" s="14" t="n"/>
      <c r="K39" s="43">
        <f>J39*(G39+H39)</f>
        <v/>
      </c>
      <c r="L39" s="8" t="n"/>
      <c r="M39" s="6" t="n"/>
      <c r="N39" s="10" t="n"/>
      <c r="O39" s="18" t="n"/>
      <c r="P39" s="32" t="n"/>
      <c r="Q39" s="33" t="n"/>
      <c r="R39" s="34" t="n"/>
      <c r="S39" t="inlineStr">
        <is>
          <t>Small Parts Machine</t>
        </is>
      </c>
      <c r="T39" t="inlineStr">
        <is>
          <t>MA200014H01</t>
        </is>
      </c>
      <c r="U39" t="inlineStr">
        <is>
          <t>Conduit socket</t>
        </is>
      </c>
      <c r="W39" t="inlineStr">
        <is>
          <t>MFG_IS_VENDOR</t>
        </is>
      </c>
      <c r="X39" t="inlineStr">
        <is>
          <t>Small Parts Machine is a custom-machining shop; PN appears to be their internal SKU. Vendor IS the manufacturer.</t>
        </is>
      </c>
      <c r="Y39" t="inlineStr">
        <is>
          <t>2026-04-29</t>
        </is>
      </c>
    </row>
    <row r="40">
      <c r="A40" s="24" t="inlineStr">
        <is>
          <t>Toolbox/Tool Board</t>
        </is>
      </c>
      <c r="B40" t="inlineStr">
        <is>
          <t>Strapping tool</t>
        </is>
      </c>
      <c r="C40" s="55" t="n"/>
      <c r="D40" s="4" t="inlineStr">
        <is>
          <t>Uline</t>
        </is>
      </c>
      <c r="E40" s="42" t="inlineStr">
        <is>
          <t>H-348</t>
        </is>
      </c>
      <c r="F40" s="25" t="inlineStr">
        <is>
          <t>1 per toolbox</t>
        </is>
      </c>
      <c r="G40" s="4" t="n">
        <v>29</v>
      </c>
      <c r="H40" s="4" t="n">
        <v>0</v>
      </c>
      <c r="I40" s="12">
        <f>G40+H40</f>
        <v/>
      </c>
      <c r="J40" s="14" t="n"/>
      <c r="K40" s="43">
        <f>J40*(G40+H40)</f>
        <v/>
      </c>
      <c r="L40" s="8" t="n"/>
      <c r="M40" s="6" t="n"/>
      <c r="N40" s="10" t="n"/>
      <c r="O40" s="18" t="n"/>
      <c r="P40" s="32" t="n"/>
      <c r="Q40" s="33" t="n"/>
      <c r="R40" s="34" t="n"/>
      <c r="S40" t="inlineStr">
        <is>
          <t>Uline</t>
        </is>
      </c>
      <c r="T40" t="inlineStr">
        <is>
          <t>S-7273</t>
        </is>
      </c>
      <c r="V40" t="inlineStr">
        <is>
          <t>https://www.uline.com/Product/Detail/S-7273</t>
        </is>
      </c>
      <c r="W40" t="inlineStr">
        <is>
          <t>MFG_IS_VENDOR</t>
        </is>
      </c>
      <c r="X40" t="inlineStr">
        <is>
          <t>Uline house brand</t>
        </is>
      </c>
      <c r="Y40" t="inlineStr">
        <is>
          <t>2026-04-29</t>
        </is>
      </c>
    </row>
    <row r="41">
      <c r="A41" s="24" t="inlineStr">
        <is>
          <t>Toolbox/Tool Board</t>
        </is>
      </c>
      <c r="B41" t="inlineStr">
        <is>
          <t>Spray bottles</t>
        </is>
      </c>
      <c r="C41" s="55" t="n"/>
      <c r="D41" s="4" t="inlineStr">
        <is>
          <t>Uline</t>
        </is>
      </c>
      <c r="E41" s="42" t="inlineStr">
        <is>
          <t>S-7273</t>
        </is>
      </c>
      <c r="F41" s="25" t="inlineStr">
        <is>
          <t>2 per toolbox</t>
        </is>
      </c>
      <c r="G41" s="4" t="n">
        <v>29</v>
      </c>
      <c r="H41" s="4" t="n">
        <v>6</v>
      </c>
      <c r="I41" s="12">
        <f>G41+H41</f>
        <v/>
      </c>
      <c r="J41" s="14" t="n"/>
      <c r="K41" s="43">
        <f>J41*(G41+H41)</f>
        <v/>
      </c>
      <c r="L41" s="8" t="n"/>
      <c r="M41" s="6" t="n"/>
      <c r="N41" s="10" t="n"/>
      <c r="O41" s="18" t="n"/>
      <c r="P41" s="32" t="n"/>
      <c r="Q41" s="33" t="n"/>
      <c r="R41" s="34" t="n"/>
      <c r="S41" t="inlineStr">
        <is>
          <t>Uline</t>
        </is>
      </c>
      <c r="T41" t="inlineStr">
        <is>
          <t>H-3493GR</t>
        </is>
      </c>
      <c r="V41" t="inlineStr">
        <is>
          <t>https://www.uline.com/Product/Detail/H-3493GR</t>
        </is>
      </c>
      <c r="W41" t="inlineStr">
        <is>
          <t>MFG_IS_VENDOR</t>
        </is>
      </c>
      <c r="X41" t="inlineStr">
        <is>
          <t>Uline house brand</t>
        </is>
      </c>
      <c r="Y41" t="inlineStr">
        <is>
          <t>2026-04-29</t>
        </is>
      </c>
    </row>
    <row r="42">
      <c r="A42" s="24" t="inlineStr">
        <is>
          <t>Toolbox/Tool Board</t>
        </is>
      </c>
      <c r="B42" t="inlineStr">
        <is>
          <t>Alcohol bottles</t>
        </is>
      </c>
      <c r="C42" s="55" t="n"/>
      <c r="D42" s="4" t="inlineStr">
        <is>
          <t>United States Plastic Corp</t>
        </is>
      </c>
      <c r="E42" s="42" t="inlineStr">
        <is>
          <t>69104</t>
        </is>
      </c>
      <c r="F42" s="25" t="inlineStr">
        <is>
          <t>3 per toolbox</t>
        </is>
      </c>
      <c r="G42" s="4" t="n">
        <v>29</v>
      </c>
      <c r="H42" s="4" t="n">
        <v>6</v>
      </c>
      <c r="I42" s="12">
        <f>G42+H42</f>
        <v/>
      </c>
      <c r="J42" s="14" t="n"/>
      <c r="K42" s="43">
        <f>J42*(G42+H42)</f>
        <v/>
      </c>
      <c r="L42" s="8" t="n"/>
      <c r="M42" s="6" t="n"/>
      <c r="N42" s="10" t="n"/>
      <c r="O42" s="18" t="n"/>
      <c r="P42" s="32" t="n"/>
      <c r="Q42" s="33" t="n"/>
      <c r="R42" s="34" t="n"/>
      <c r="S42" t="inlineStr">
        <is>
          <t>Uline</t>
        </is>
      </c>
      <c r="T42" t="inlineStr">
        <is>
          <t>H-3498</t>
        </is>
      </c>
      <c r="V42" t="inlineStr">
        <is>
          <t>https://www.uline.com/Product/Detail/H-3498</t>
        </is>
      </c>
      <c r="W42" t="inlineStr">
        <is>
          <t>MFG_IS_VENDOR</t>
        </is>
      </c>
      <c r="X42" t="inlineStr">
        <is>
          <t>Uline house brand</t>
        </is>
      </c>
      <c r="Y42" t="inlineStr">
        <is>
          <t>2026-04-29</t>
        </is>
      </c>
    </row>
    <row r="43">
      <c r="A43" s="24" t="inlineStr">
        <is>
          <t>Toolbox/Tool Board</t>
        </is>
      </c>
      <c r="B43" t="inlineStr">
        <is>
          <t>60 kg-cm ratcheting torque wrench</t>
        </is>
      </c>
      <c r="C43" s="55" t="inlineStr">
        <is>
          <t>Tohnichi</t>
        </is>
      </c>
      <c r="D43" s="4" t="inlineStr">
        <is>
          <t>Gemini Products</t>
        </is>
      </c>
      <c r="E43" s="42" t="inlineStr">
        <is>
          <t>QL10N</t>
        </is>
      </c>
      <c r="F43" s="25" t="inlineStr">
        <is>
          <t>2 per shared toolboard</t>
        </is>
      </c>
      <c r="G43" s="4" t="n">
        <v>28</v>
      </c>
      <c r="H43" s="4" t="n">
        <v>0</v>
      </c>
      <c r="I43" s="12">
        <f>G43+H43</f>
        <v/>
      </c>
      <c r="J43" s="14" t="n"/>
      <c r="K43" s="43">
        <f>J43*(G43+H43)</f>
        <v/>
      </c>
      <c r="L43" s="8" t="n"/>
      <c r="M43" s="6" t="n"/>
      <c r="N43" s="10" t="n"/>
      <c r="O43" s="18" t="n"/>
      <c r="P43" s="32" t="n"/>
      <c r="Q43" s="33" t="n"/>
      <c r="R43" s="34" t="n"/>
      <c r="S43" t="inlineStr">
        <is>
          <t>Uline</t>
        </is>
      </c>
      <c r="T43" t="inlineStr">
        <is>
          <t>H-1046BLU</t>
        </is>
      </c>
      <c r="V43" t="inlineStr">
        <is>
          <t>https://www.uline.com/Product/Detail/H-1046BLU</t>
        </is>
      </c>
      <c r="W43" t="inlineStr">
        <is>
          <t>MFG_IS_VENDOR</t>
        </is>
      </c>
      <c r="X43" t="inlineStr">
        <is>
          <t>Uline house brand</t>
        </is>
      </c>
      <c r="Y43" t="inlineStr">
        <is>
          <t>2026-04-29</t>
        </is>
      </c>
    </row>
    <row r="44">
      <c r="A44" s="24" t="inlineStr">
        <is>
          <t>Toolbox/Tool Board</t>
        </is>
      </c>
      <c r="B44" t="inlineStr">
        <is>
          <t>140 kg-cm ratcheting torque wrench</t>
        </is>
      </c>
      <c r="C44" s="55" t="inlineStr">
        <is>
          <t>Tohnichi</t>
        </is>
      </c>
      <c r="D44" s="4" t="inlineStr">
        <is>
          <t>Gemini Products</t>
        </is>
      </c>
      <c r="E44" s="42" t="inlineStr">
        <is>
          <t>QL25N5</t>
        </is>
      </c>
      <c r="F44" s="25" t="inlineStr">
        <is>
          <t>2 per shared toolboard</t>
        </is>
      </c>
      <c r="G44" s="4" t="n">
        <v>28</v>
      </c>
      <c r="H44" s="4" t="n">
        <v>0</v>
      </c>
      <c r="I44" s="12">
        <f>G44+H44</f>
        <v/>
      </c>
      <c r="J44" s="14" t="n"/>
      <c r="K44" s="43">
        <f>J44*(G44+H44)</f>
        <v/>
      </c>
      <c r="L44" s="8" t="n"/>
      <c r="M44" s="6" t="n"/>
      <c r="N44" s="10" t="n"/>
      <c r="O44" s="18" t="n"/>
      <c r="P44" s="32" t="n"/>
      <c r="Q44" s="33" t="n"/>
      <c r="R44" s="34" t="n"/>
      <c r="S44" t="inlineStr">
        <is>
          <t>Uline</t>
        </is>
      </c>
      <c r="T44" t="inlineStr">
        <is>
          <t>H-1046W</t>
        </is>
      </c>
      <c r="V44" t="inlineStr">
        <is>
          <t>https://www.uline.com/Product/Detail/H-1046W</t>
        </is>
      </c>
      <c r="W44" t="inlineStr">
        <is>
          <t>MFG_IS_VENDOR</t>
        </is>
      </c>
      <c r="X44" t="inlineStr">
        <is>
          <t>Uline house brand</t>
        </is>
      </c>
      <c r="Y44" t="inlineStr">
        <is>
          <t>2026-04-29</t>
        </is>
      </c>
    </row>
    <row r="45">
      <c r="A45" s="24" t="inlineStr">
        <is>
          <t>Toolbox/Tool Board</t>
        </is>
      </c>
      <c r="B45" t="inlineStr">
        <is>
          <t>280 kg-cm ratcheting torque wrench</t>
        </is>
      </c>
      <c r="C45" s="55" t="inlineStr">
        <is>
          <t>Tohnichi</t>
        </is>
      </c>
      <c r="D45" s="4" t="inlineStr">
        <is>
          <t>Gemini Products</t>
        </is>
      </c>
      <c r="E45" s="42" t="inlineStr">
        <is>
          <t>QL50N</t>
        </is>
      </c>
      <c r="F45" s="25" t="inlineStr">
        <is>
          <t>2 per shared toolboard</t>
        </is>
      </c>
      <c r="G45" s="4" t="n">
        <v>28</v>
      </c>
      <c r="H45" s="4" t="n">
        <v>0</v>
      </c>
      <c r="I45" s="12">
        <f>G45+H45</f>
        <v/>
      </c>
      <c r="J45" s="14" t="n"/>
      <c r="K45" s="43">
        <f>J45*(G45+H45)</f>
        <v/>
      </c>
      <c r="L45" s="8" t="n"/>
      <c r="M45" s="6" t="n"/>
      <c r="N45" s="10" t="n"/>
      <c r="O45" s="18" t="n"/>
      <c r="P45" s="32" t="n"/>
      <c r="Q45" s="33" t="n"/>
      <c r="R45" s="34" t="n"/>
      <c r="S45" t="inlineStr">
        <is>
          <t>Uline</t>
        </is>
      </c>
      <c r="T45" t="inlineStr">
        <is>
          <t>H-7928</t>
        </is>
      </c>
      <c r="V45" t="inlineStr">
        <is>
          <t>https://www.uline.com/Product/Detail/H-7928</t>
        </is>
      </c>
      <c r="W45" t="inlineStr">
        <is>
          <t>MFG_IS_VENDOR</t>
        </is>
      </c>
      <c r="X45" t="inlineStr">
        <is>
          <t>Uline house brand</t>
        </is>
      </c>
      <c r="Y45" t="inlineStr">
        <is>
          <t>2026-04-29</t>
        </is>
      </c>
    </row>
    <row r="46">
      <c r="A46" s="24" t="inlineStr">
        <is>
          <t>Toolbox/Tool Board</t>
        </is>
      </c>
      <c r="B46" t="inlineStr">
        <is>
          <t>480 kg-cm ratcheting torque wrench</t>
        </is>
      </c>
      <c r="C46" s="55" t="inlineStr">
        <is>
          <t>Tohnichi</t>
        </is>
      </c>
      <c r="D46" s="4" t="inlineStr">
        <is>
          <t>Gemini Products</t>
        </is>
      </c>
      <c r="E46" s="42" t="inlineStr">
        <is>
          <t>QL100N4</t>
        </is>
      </c>
      <c r="F46" s="25" t="inlineStr">
        <is>
          <t>2 per shared toolboard</t>
        </is>
      </c>
      <c r="G46" s="4" t="n">
        <v>28</v>
      </c>
      <c r="H46" s="4" t="n">
        <v>0</v>
      </c>
      <c r="I46" s="12">
        <f>G46+H46</f>
        <v/>
      </c>
      <c r="J46" s="14" t="n"/>
      <c r="K46" s="43">
        <f>J46*(G46+H46)</f>
        <v/>
      </c>
      <c r="L46" s="8" t="n"/>
      <c r="M46" s="6" t="n"/>
      <c r="N46" s="10" t="n"/>
      <c r="O46" s="18" t="n"/>
      <c r="P46" s="32" t="n"/>
      <c r="Q46" s="33" t="n"/>
      <c r="R46" s="34" t="n"/>
      <c r="S46" t="inlineStr">
        <is>
          <t>Uline</t>
        </is>
      </c>
      <c r="T46" t="inlineStr">
        <is>
          <t>H-1956BLU</t>
        </is>
      </c>
      <c r="V46" t="inlineStr">
        <is>
          <t>https://www.uline.com/Product/Detail/H-1956BLU</t>
        </is>
      </c>
      <c r="W46" t="inlineStr">
        <is>
          <t>MFG_IS_VENDOR</t>
        </is>
      </c>
      <c r="X46" t="inlineStr">
        <is>
          <t>Uline house brand</t>
        </is>
      </c>
      <c r="Y46" t="inlineStr">
        <is>
          <t>2026-04-29</t>
        </is>
      </c>
    </row>
    <row r="47">
      <c r="A47" s="24" t="inlineStr">
        <is>
          <t>Toolbox/Tool Board</t>
        </is>
      </c>
      <c r="B47" t="inlineStr">
        <is>
          <t>1200 kg-cm ratcheting torque wrench</t>
        </is>
      </c>
      <c r="C47" s="55" t="inlineStr">
        <is>
          <t>Tohnichi</t>
        </is>
      </c>
      <c r="D47" s="4" t="inlineStr">
        <is>
          <t>Gemini Products</t>
        </is>
      </c>
      <c r="E47" s="42" t="inlineStr">
        <is>
          <t>QL140N</t>
        </is>
      </c>
      <c r="F47" s="25" t="inlineStr">
        <is>
          <t>2 per shared toolboard</t>
        </is>
      </c>
      <c r="G47" s="4" t="n">
        <v>28</v>
      </c>
      <c r="H47" s="4" t="n">
        <v>0</v>
      </c>
      <c r="I47" s="12">
        <f>G47+H47</f>
        <v/>
      </c>
      <c r="J47" s="14" t="n"/>
      <c r="K47" s="43">
        <f>J47*(G47+H47)</f>
        <v/>
      </c>
      <c r="L47" s="8" t="n"/>
      <c r="M47" s="6" t="n"/>
      <c r="N47" s="10" t="n"/>
      <c r="O47" s="18" t="n"/>
      <c r="P47" s="32" t="n"/>
      <c r="Q47" s="33" t="n"/>
      <c r="R47" s="34" t="n"/>
      <c r="S47" t="inlineStr">
        <is>
          <t>Tohnichi</t>
        </is>
      </c>
      <c r="T47" t="inlineStr">
        <is>
          <t>QL140N</t>
        </is>
      </c>
      <c r="U47" t="inlineStr">
        <is>
          <t>1200 kg-cm ratcheting torque wrench</t>
        </is>
      </c>
      <c r="V47" t="inlineStr">
        <is>
          <t>https://www.tohnichi.com/?s=QL140N</t>
        </is>
      </c>
      <c r="W47" t="inlineStr">
        <is>
          <t>OK</t>
        </is>
      </c>
      <c r="X47" t="inlineStr">
        <is>
          <t>MFG inferred from Gemini Products distributor catalog (Tohnichi torque wrenches). Vendor PN matches Tohnichi MFG PN. Verify with Anthony if exact-match required.</t>
        </is>
      </c>
      <c r="Y47" t="inlineStr">
        <is>
          <t>2026-04-29</t>
        </is>
      </c>
    </row>
    <row r="48">
      <c r="A48" s="24" t="inlineStr">
        <is>
          <t>Toolbox/Tool Board</t>
        </is>
      </c>
      <c r="B48" t="inlineStr">
        <is>
          <t>2200 kg-cm ratcheting torque wrench</t>
        </is>
      </c>
      <c r="C48" s="55" t="inlineStr">
        <is>
          <t>Tohnichi</t>
        </is>
      </c>
      <c r="D48" s="4" t="inlineStr">
        <is>
          <t>Gemini Products</t>
        </is>
      </c>
      <c r="E48" s="42" t="inlineStr">
        <is>
          <t>QL280N</t>
        </is>
      </c>
      <c r="F48" s="25" t="inlineStr">
        <is>
          <t>1 per shared toolboard for BIP/ship prep</t>
        </is>
      </c>
      <c r="G48" s="4" t="n">
        <v>12</v>
      </c>
      <c r="H48" s="4" t="n">
        <v>0</v>
      </c>
      <c r="I48" s="12">
        <f>G48+H48</f>
        <v/>
      </c>
      <c r="J48" s="14" t="n"/>
      <c r="K48" s="43">
        <f>J48*(G48+H48)</f>
        <v/>
      </c>
      <c r="L48" s="8" t="n"/>
      <c r="M48" s="6" t="n"/>
      <c r="N48" s="10" t="n"/>
      <c r="O48" s="18" t="n"/>
      <c r="P48" s="32" t="n"/>
      <c r="Q48" s="33" t="n"/>
      <c r="R48" s="34" t="n"/>
      <c r="S48" t="inlineStr">
        <is>
          <t>Tohnichi</t>
        </is>
      </c>
      <c r="T48" t="inlineStr">
        <is>
          <t>QL280N</t>
        </is>
      </c>
      <c r="U48" t="inlineStr">
        <is>
          <t>2200 kg-cm ratcheting torque wrench</t>
        </is>
      </c>
      <c r="V48" t="inlineStr">
        <is>
          <t>https://www.tohnichi.com/?s=QL280N</t>
        </is>
      </c>
      <c r="W48" t="inlineStr">
        <is>
          <t>OK</t>
        </is>
      </c>
      <c r="X48" t="inlineStr">
        <is>
          <t>MFG inferred from Gemini Products distributor catalog (Tohnichi torque wrenches). Vendor PN matches Tohnichi MFG PN. Verify with Anthony if exact-match required.</t>
        </is>
      </c>
      <c r="Y48" t="inlineStr">
        <is>
          <t>2026-04-29</t>
        </is>
      </c>
    </row>
    <row r="49">
      <c r="A49" s="24" t="inlineStr">
        <is>
          <t>Toolbox/Tool Board</t>
        </is>
      </c>
      <c r="B49" t="inlineStr">
        <is>
          <t>3900 kg-cm ratcheting torque wrench</t>
        </is>
      </c>
      <c r="C49" s="55" t="inlineStr">
        <is>
          <t>Tohnichi</t>
        </is>
      </c>
      <c r="D49" s="4" t="inlineStr">
        <is>
          <t>Gemini Products</t>
        </is>
      </c>
      <c r="E49" s="42" t="inlineStr">
        <is>
          <t>QL420N</t>
        </is>
      </c>
      <c r="F49" s="25" t="inlineStr">
        <is>
          <t>1 per shared toolboard for BIP/ship prep</t>
        </is>
      </c>
      <c r="G49" s="4" t="n">
        <v>12</v>
      </c>
      <c r="H49" s="4" t="n">
        <v>0</v>
      </c>
      <c r="I49" s="12">
        <f>G49+H49</f>
        <v/>
      </c>
      <c r="J49" s="14" t="n"/>
      <c r="K49" s="43">
        <f>J49*(G49+H49)</f>
        <v/>
      </c>
      <c r="L49" s="8" t="n"/>
      <c r="M49" s="6" t="n"/>
      <c r="N49" s="10" t="n"/>
      <c r="O49" s="18" t="n"/>
      <c r="P49" s="32" t="n"/>
      <c r="Q49" s="33" t="n"/>
      <c r="R49" s="34" t="n"/>
      <c r="S49" t="inlineStr">
        <is>
          <t>Tohnichi</t>
        </is>
      </c>
      <c r="T49" t="inlineStr">
        <is>
          <t>QL420N</t>
        </is>
      </c>
      <c r="U49" t="inlineStr">
        <is>
          <t>3900 kg-cm ratcheting torque wrench</t>
        </is>
      </c>
      <c r="V49" t="inlineStr">
        <is>
          <t>https://www.tohnichi.com/?s=QL420N</t>
        </is>
      </c>
      <c r="W49" t="inlineStr">
        <is>
          <t>OK</t>
        </is>
      </c>
      <c r="X49" t="inlineStr">
        <is>
          <t>MFG inferred from Gemini Products distributor catalog (Tohnichi torque wrenches). Vendor PN matches Tohnichi MFG PN. Verify with Anthony if exact-match required.</t>
        </is>
      </c>
      <c r="Y49" t="inlineStr">
        <is>
          <t>2026-04-29</t>
        </is>
      </c>
    </row>
    <row r="50">
      <c r="A50" s="24" t="inlineStr">
        <is>
          <t>Toolbox/Tool Board</t>
        </is>
      </c>
      <c r="B50" t="inlineStr">
        <is>
          <t>7700 kg-cm ratcheting torque wrench</t>
        </is>
      </c>
      <c r="C50" s="55" t="inlineStr">
        <is>
          <t>Tohnichi</t>
        </is>
      </c>
      <c r="D50" s="4" t="inlineStr">
        <is>
          <t>Gemini Products</t>
        </is>
      </c>
      <c r="E50" s="42" t="inlineStr">
        <is>
          <t>QLE1000N2</t>
        </is>
      </c>
      <c r="F50" s="25" t="inlineStr">
        <is>
          <t>1 per shared toolboard for BIP/ship prep</t>
        </is>
      </c>
      <c r="G50" s="4" t="n">
        <v>3</v>
      </c>
      <c r="H50" s="4" t="n">
        <v>0</v>
      </c>
      <c r="I50" s="12">
        <f>G50+H50</f>
        <v/>
      </c>
      <c r="J50" s="14" t="n"/>
      <c r="K50" s="43">
        <f>J50*(G50+H50)</f>
        <v/>
      </c>
      <c r="L50" s="8" t="n"/>
      <c r="M50" s="6" t="n"/>
      <c r="N50" s="10" t="n"/>
      <c r="O50" s="18" t="n"/>
      <c r="P50" s="32" t="n"/>
      <c r="Q50" s="33" t="n"/>
      <c r="R50" s="34" t="n"/>
      <c r="S50" t="inlineStr">
        <is>
          <t>Tohnichi</t>
        </is>
      </c>
      <c r="T50" t="inlineStr">
        <is>
          <t>QLE1000N2</t>
        </is>
      </c>
      <c r="U50" t="inlineStr">
        <is>
          <t>7700 kg-cm ratcheting torque wrench</t>
        </is>
      </c>
      <c r="V50" t="inlineStr">
        <is>
          <t>https://www.tohnichi.com/?s=QLE1000N2</t>
        </is>
      </c>
      <c r="W50" t="inlineStr">
        <is>
          <t>OK</t>
        </is>
      </c>
      <c r="X50" t="inlineStr">
        <is>
          <t>MFG inferred from Gemini Products distributor catalog (Tohnichi torque wrenches). Vendor PN matches Tohnichi MFG PN. Verify with Anthony if exact-match required.</t>
        </is>
      </c>
      <c r="Y50" t="inlineStr">
        <is>
          <t>2026-04-29</t>
        </is>
      </c>
    </row>
    <row r="51">
      <c r="A51" s="24" t="inlineStr">
        <is>
          <t>Toolbox/Tool Board</t>
        </is>
      </c>
      <c r="B51" t="inlineStr">
        <is>
          <t>13mm Head 140 kg-cm preset torque wrench</t>
        </is>
      </c>
      <c r="C51" s="55" t="inlineStr">
        <is>
          <t>Tohnichi</t>
        </is>
      </c>
      <c r="D51" s="4" t="inlineStr">
        <is>
          <t>Gemini Products</t>
        </is>
      </c>
      <c r="E51" s="42" t="inlineStr">
        <is>
          <t>CSP25N3X10D+SH10DX13</t>
        </is>
      </c>
      <c r="F51" s="25" t="inlineStr">
        <is>
          <t>1 per shared toolboard for BIP/ship prep</t>
        </is>
      </c>
      <c r="G51" s="4" t="n">
        <v>12</v>
      </c>
      <c r="H51" s="4" t="n">
        <v>0</v>
      </c>
      <c r="I51" s="12">
        <f>G51+H51</f>
        <v/>
      </c>
      <c r="J51" s="14" t="n"/>
      <c r="K51" s="43">
        <f>J51*(G51+H51)</f>
        <v/>
      </c>
      <c r="L51" s="8" t="n"/>
      <c r="M51" s="6" t="n"/>
      <c r="N51" s="10" t="n"/>
      <c r="O51" s="18" t="n"/>
      <c r="P51" s="32" t="n"/>
      <c r="Q51" s="33" t="n"/>
      <c r="R51" s="34" t="n"/>
      <c r="S51" t="inlineStr">
        <is>
          <t>Tohnichi</t>
        </is>
      </c>
      <c r="T51" t="inlineStr">
        <is>
          <t>CSP25N3X10D+SH10DX13</t>
        </is>
      </c>
      <c r="U51" t="inlineStr">
        <is>
          <t>13mm Head 140 kg-cm preset torque wrench</t>
        </is>
      </c>
      <c r="V51" t="inlineStr">
        <is>
          <t>https://www.tohnichi.com/?s=CSP25N3X10D+SH10DX13</t>
        </is>
      </c>
      <c r="W51" t="inlineStr">
        <is>
          <t>OK</t>
        </is>
      </c>
      <c r="X51" t="inlineStr">
        <is>
          <t>MFG inferred from Gemini Products distributor catalog (Tohnichi torque wrenches). Vendor PN matches Tohnichi MFG PN. Verify with Anthony if exact-match required.</t>
        </is>
      </c>
      <c r="Y51" t="inlineStr">
        <is>
          <t>2026-04-29</t>
        </is>
      </c>
    </row>
    <row r="52">
      <c r="A52" s="24" t="inlineStr">
        <is>
          <t>Toolbox/Tool Board</t>
        </is>
      </c>
      <c r="B52" t="inlineStr">
        <is>
          <t>17mm Head 280 kg-cm preset torque wrench</t>
        </is>
      </c>
      <c r="C52" s="55" t="inlineStr">
        <is>
          <t>Tohnichi</t>
        </is>
      </c>
      <c r="D52" s="4" t="inlineStr">
        <is>
          <t>Gemini Products</t>
        </is>
      </c>
      <c r="E52" s="42" t="inlineStr">
        <is>
          <t>CSP50N3X12D+SH12DX17</t>
        </is>
      </c>
      <c r="F52" s="25" t="inlineStr">
        <is>
          <t>1 per shared toolboard for BIP/ship prep</t>
        </is>
      </c>
      <c r="G52" s="4" t="n">
        <v>12</v>
      </c>
      <c r="H52" s="4" t="n">
        <v>0</v>
      </c>
      <c r="I52" s="12">
        <f>G52+H52</f>
        <v/>
      </c>
      <c r="J52" s="14" t="n"/>
      <c r="K52" s="43">
        <f>J52*(G52+H52)</f>
        <v/>
      </c>
      <c r="L52" s="8" t="n"/>
      <c r="M52" s="6" t="n"/>
      <c r="N52" s="10" t="n"/>
      <c r="O52" s="18" t="n"/>
      <c r="P52" s="32" t="n"/>
      <c r="Q52" s="33" t="n"/>
      <c r="R52" s="34" t="n"/>
      <c r="S52" t="inlineStr">
        <is>
          <t>Tohnichi</t>
        </is>
      </c>
      <c r="T52" t="inlineStr">
        <is>
          <t>CSP50N3X12D+SH12DX17</t>
        </is>
      </c>
      <c r="U52" t="inlineStr">
        <is>
          <t>17mm Head 280 kg-cm preset torque wrench</t>
        </is>
      </c>
      <c r="V52" t="inlineStr">
        <is>
          <t>https://www.tohnichi.com/?s=CSP50N3X12D+SH12DX17</t>
        </is>
      </c>
      <c r="W52" t="inlineStr">
        <is>
          <t>OK</t>
        </is>
      </c>
      <c r="X52" t="inlineStr">
        <is>
          <t>MFG inferred from Gemini Products distributor catalog (Tohnichi torque wrenches). Vendor PN matches Tohnichi MFG PN. Verify with Anthony if exact-match required.</t>
        </is>
      </c>
      <c r="Y52" t="inlineStr">
        <is>
          <t>2026-04-29</t>
        </is>
      </c>
    </row>
    <row r="53">
      <c r="A53" s="24" t="inlineStr">
        <is>
          <t>Toolbox/Tool Board</t>
        </is>
      </c>
      <c r="B53" t="inlineStr">
        <is>
          <t>19mm Head 480 kg-cm preset torque wrench</t>
        </is>
      </c>
      <c r="C53" s="55" t="inlineStr">
        <is>
          <t>Tohnichi</t>
        </is>
      </c>
      <c r="D53" s="4" t="inlineStr">
        <is>
          <t>Gemini Products</t>
        </is>
      </c>
      <c r="E53" s="42" t="inlineStr">
        <is>
          <t>CSP100N3X15D+SH15DX19</t>
        </is>
      </c>
      <c r="F53" s="25" t="inlineStr">
        <is>
          <t>1 per shared toolboard for BIP/ship prep</t>
        </is>
      </c>
      <c r="G53" s="4" t="n">
        <v>12</v>
      </c>
      <c r="H53" s="4" t="n">
        <v>0</v>
      </c>
      <c r="I53" s="12">
        <f>G53+H53</f>
        <v/>
      </c>
      <c r="J53" s="14" t="n"/>
      <c r="K53" s="43">
        <f>J53*(G53+H53)</f>
        <v/>
      </c>
      <c r="L53" s="8" t="n"/>
      <c r="M53" s="6" t="n"/>
      <c r="N53" s="10" t="n"/>
      <c r="O53" s="18" t="n"/>
      <c r="P53" s="32" t="n"/>
      <c r="Q53" s="33" t="n"/>
      <c r="R53" s="34" t="n"/>
      <c r="S53" t="inlineStr">
        <is>
          <t>Tohnichi</t>
        </is>
      </c>
      <c r="T53" t="inlineStr">
        <is>
          <t>CSP100N3X15D+SH15DX19</t>
        </is>
      </c>
      <c r="U53" t="inlineStr">
        <is>
          <t>19mm Head 480 kg-cm preset torque wrench</t>
        </is>
      </c>
      <c r="V53" t="inlineStr">
        <is>
          <t>https://www.tohnichi.com/?s=CSP100N3X15D+SH15DX19</t>
        </is>
      </c>
      <c r="W53" t="inlineStr">
        <is>
          <t>OK</t>
        </is>
      </c>
      <c r="X53" t="inlineStr">
        <is>
          <t>MFG inferred from Gemini Products distributor catalog (Tohnichi torque wrenches). Vendor PN matches Tohnichi MFG PN. Verify with Anthony if exact-match required.</t>
        </is>
      </c>
      <c r="Y53" t="inlineStr">
        <is>
          <t>2026-04-29</t>
        </is>
      </c>
    </row>
    <row r="54">
      <c r="A54" s="24" t="inlineStr">
        <is>
          <t>Toolbox/Tool Board</t>
        </is>
      </c>
      <c r="B54" t="inlineStr">
        <is>
          <t>24mm Head 1200 kg-cm preset torque wrench</t>
        </is>
      </c>
      <c r="C54" s="55" t="inlineStr">
        <is>
          <t>Tohnichi</t>
        </is>
      </c>
      <c r="D54" s="4" t="inlineStr">
        <is>
          <t>Gemini Products</t>
        </is>
      </c>
      <c r="E54" s="42" t="inlineStr">
        <is>
          <t>CSP140N3X15D+SH15DX24</t>
        </is>
      </c>
      <c r="F54" s="25" t="inlineStr">
        <is>
          <t>1 per shared toolboard for BIP/ship prep</t>
        </is>
      </c>
      <c r="G54" s="4" t="n">
        <v>12</v>
      </c>
      <c r="H54" s="4" t="n">
        <v>0</v>
      </c>
      <c r="I54" s="12">
        <f>G54+H54</f>
        <v/>
      </c>
      <c r="J54" s="14" t="n"/>
      <c r="K54" s="43">
        <f>J54*(G54+H54)</f>
        <v/>
      </c>
      <c r="L54" s="8" t="n"/>
      <c r="M54" s="6" t="n"/>
      <c r="N54" s="10" t="n"/>
      <c r="O54" s="18" t="n"/>
      <c r="P54" s="32" t="n"/>
      <c r="Q54" s="33" t="n"/>
      <c r="R54" s="34" t="n"/>
      <c r="S54" t="inlineStr">
        <is>
          <t>Tohnichi</t>
        </is>
      </c>
      <c r="T54" t="inlineStr">
        <is>
          <t>CSP140N3X15D+SH15DX24</t>
        </is>
      </c>
      <c r="U54" t="inlineStr">
        <is>
          <t>24mm Head 1200 kg-cm preset torque wrench</t>
        </is>
      </c>
      <c r="V54" t="inlineStr">
        <is>
          <t>https://www.tohnichi.com/?s=CSP140N3X15D+SH15DX24</t>
        </is>
      </c>
      <c r="W54" t="inlineStr">
        <is>
          <t>OK</t>
        </is>
      </c>
      <c r="X54" t="inlineStr">
        <is>
          <t>MFG inferred from Gemini Products distributor catalog (Tohnichi torque wrenches). Vendor PN matches Tohnichi MFG PN. Verify with Anthony if exact-match required.</t>
        </is>
      </c>
      <c r="Y54" t="inlineStr">
        <is>
          <t>2026-04-29</t>
        </is>
      </c>
    </row>
    <row r="55">
      <c r="A55" s="24" t="inlineStr">
        <is>
          <t>Toolbox/Tool Board</t>
        </is>
      </c>
      <c r="B55" t="inlineStr">
        <is>
          <t>30mm Head 2200 kg-cm preset torque wrench</t>
        </is>
      </c>
      <c r="C55" s="55" t="inlineStr">
        <is>
          <t>Tohnichi</t>
        </is>
      </c>
      <c r="D55" s="4" t="inlineStr">
        <is>
          <t>Gemini Products</t>
        </is>
      </c>
      <c r="E55" s="42" t="inlineStr">
        <is>
          <t>CSP280N3X22D+SH22DX30</t>
        </is>
      </c>
      <c r="F55" s="25" t="inlineStr">
        <is>
          <t>1 per shared 145 BIP cells</t>
        </is>
      </c>
      <c r="G55" s="4" t="n">
        <v>4</v>
      </c>
      <c r="H55" s="4" t="n">
        <v>0</v>
      </c>
      <c r="I55" s="12">
        <f>G55+H55</f>
        <v/>
      </c>
      <c r="J55" s="14" t="n"/>
      <c r="K55" s="43">
        <f>J55*(G55+H55)</f>
        <v/>
      </c>
      <c r="L55" s="8" t="n"/>
      <c r="M55" s="6" t="n"/>
      <c r="N55" s="10" t="n"/>
      <c r="O55" s="18" t="n"/>
      <c r="P55" s="32" t="n"/>
      <c r="Q55" s="33" t="n"/>
      <c r="R55" s="34" t="n"/>
      <c r="S55" t="inlineStr">
        <is>
          <t>Tohnichi</t>
        </is>
      </c>
      <c r="T55" t="inlineStr">
        <is>
          <t>CSP280N3X22D+SH22DX30</t>
        </is>
      </c>
      <c r="U55" t="inlineStr">
        <is>
          <t>30mm Head 2200 kg-cm preset torque wrench</t>
        </is>
      </c>
      <c r="V55" t="inlineStr">
        <is>
          <t>https://www.tohnichi.com/?s=CSP280N3X22D+SH22DX30</t>
        </is>
      </c>
      <c r="W55" t="inlineStr">
        <is>
          <t>OK</t>
        </is>
      </c>
      <c r="X55" t="inlineStr">
        <is>
          <t>MFG inferred from Gemini Products distributor catalog (Tohnichi torque wrenches). Vendor PN matches Tohnichi MFG PN. Verify with Anthony if exact-match required.</t>
        </is>
      </c>
      <c r="Y55" t="inlineStr">
        <is>
          <t>2026-04-29</t>
        </is>
      </c>
    </row>
    <row r="56">
      <c r="A56" s="24" t="inlineStr">
        <is>
          <t>Toolbox/Tool Board</t>
        </is>
      </c>
      <c r="B56" t="inlineStr">
        <is>
          <t>36mm Head 3900 kg-cm preset torque wrench</t>
        </is>
      </c>
      <c r="C56" s="55" t="inlineStr">
        <is>
          <t>Tohnichi</t>
        </is>
      </c>
      <c r="D56" s="4" t="inlineStr">
        <is>
          <t>Gemini Products</t>
        </is>
      </c>
      <c r="E56" s="42" t="inlineStr">
        <is>
          <t>CSP420N3X22D+SH22DX36</t>
        </is>
      </c>
      <c r="F56" s="25" t="inlineStr">
        <is>
          <t>1 per shared 145 BIP cells</t>
        </is>
      </c>
      <c r="G56" s="4" t="n">
        <v>4</v>
      </c>
      <c r="H56" s="4" t="n">
        <v>0</v>
      </c>
      <c r="I56" s="12">
        <f>G56+H56</f>
        <v/>
      </c>
      <c r="J56" s="14" t="n"/>
      <c r="K56" s="43">
        <f>J56*(G56+H56)</f>
        <v/>
      </c>
      <c r="L56" s="8" t="n"/>
      <c r="M56" s="6" t="n"/>
      <c r="N56" s="10" t="n"/>
      <c r="O56" s="18" t="n"/>
      <c r="P56" s="32" t="n"/>
      <c r="Q56" s="33" t="n"/>
      <c r="R56" s="34" t="n"/>
      <c r="S56" t="inlineStr">
        <is>
          <t>Tohnichi</t>
        </is>
      </c>
      <c r="T56" t="inlineStr">
        <is>
          <t>CSP420N3X22D+SH22DX36</t>
        </is>
      </c>
      <c r="U56" t="inlineStr">
        <is>
          <t>36mm Head 3900 kg-cm preset torque wrench</t>
        </is>
      </c>
      <c r="V56" t="inlineStr">
        <is>
          <t>https://www.tohnichi.com/?s=CSP420N3X22D+SH22DX36</t>
        </is>
      </c>
      <c r="W56" t="inlineStr">
        <is>
          <t>OK</t>
        </is>
      </c>
      <c r="X56" t="inlineStr">
        <is>
          <t>MFG inferred from Gemini Products distributor catalog (Tohnichi torque wrenches). Vendor PN matches Tohnichi MFG PN. Verify with Anthony if exact-match required.</t>
        </is>
      </c>
      <c r="Y56" t="inlineStr">
        <is>
          <t>2026-04-29</t>
        </is>
      </c>
    </row>
    <row r="57">
      <c r="A57" s="24" t="inlineStr">
        <is>
          <t>Toolbox/Tool Board</t>
        </is>
      </c>
      <c r="B57" t="inlineStr">
        <is>
          <t>46mm head 7700 kg-cm preset torque wrench</t>
        </is>
      </c>
      <c r="C57" s="55" t="inlineStr">
        <is>
          <t>Tohnichi</t>
        </is>
      </c>
      <c r="D57" s="4" t="inlineStr">
        <is>
          <t>Gemini Products</t>
        </is>
      </c>
      <c r="E57" s="42" t="inlineStr">
        <is>
          <t>CLE850N2X32D+SH32DX46</t>
        </is>
      </c>
      <c r="F57" s="25" t="inlineStr">
        <is>
          <t>1 per line (145/245/362)</t>
        </is>
      </c>
      <c r="G57" s="4" t="n">
        <v>3</v>
      </c>
      <c r="H57" s="4" t="n">
        <v>0</v>
      </c>
      <c r="I57" s="12">
        <f>G57+H57</f>
        <v/>
      </c>
      <c r="J57" s="14" t="n"/>
      <c r="K57" s="43">
        <f>J57*(G57+H57)</f>
        <v/>
      </c>
      <c r="L57" s="8" t="n"/>
      <c r="M57" s="6" t="n"/>
      <c r="N57" s="10" t="n"/>
      <c r="O57" s="18" t="n"/>
      <c r="P57" s="32" t="n"/>
      <c r="Q57" s="33" t="n"/>
      <c r="R57" s="34" t="n"/>
      <c r="S57" t="inlineStr">
        <is>
          <t>Tohnichi</t>
        </is>
      </c>
      <c r="T57" t="inlineStr">
        <is>
          <t>CLE850N2X32D+SH32DX46</t>
        </is>
      </c>
      <c r="U57" t="inlineStr">
        <is>
          <t>46mm head 7700 kg-cm preset torque wrench</t>
        </is>
      </c>
      <c r="V57" t="inlineStr">
        <is>
          <t>https://www.tohnichi.com/?s=CLE850N2X32D+SH32DX46</t>
        </is>
      </c>
      <c r="W57" t="inlineStr">
        <is>
          <t>OK</t>
        </is>
      </c>
      <c r="X57" t="inlineStr">
        <is>
          <t>MFG inferred from Gemini Products distributor catalog (Tohnichi torque wrenches). Vendor PN matches Tohnichi MFG PN. Verify with Anthony if exact-match required.</t>
        </is>
      </c>
      <c r="Y57" t="inlineStr">
        <is>
          <t>2026-04-29</t>
        </is>
      </c>
    </row>
    <row r="58">
      <c r="A58" s="24" t="inlineStr">
        <is>
          <t>Toolbox/Tool Board</t>
        </is>
      </c>
      <c r="B58" t="inlineStr">
        <is>
          <t>1-1/8" head 871 kg-cm torque wrench</t>
        </is>
      </c>
      <c r="C58" s="55" t="inlineStr">
        <is>
          <t>Tohnichi</t>
        </is>
      </c>
      <c r="D58" s="4" t="inlineStr">
        <is>
          <t>Gemini Products</t>
        </is>
      </c>
      <c r="E58" s="42" t="inlineStr">
        <is>
          <t>CSP100N3X15D+SH15DX1-1/8</t>
        </is>
      </c>
      <c r="F58" s="25" t="inlineStr">
        <is>
          <t>1 per shared toolboard for BIP/ship prep</t>
        </is>
      </c>
      <c r="G58" s="4" t="n">
        <v>12</v>
      </c>
      <c r="H58" s="4" t="n">
        <v>0</v>
      </c>
      <c r="I58" s="12">
        <f>G58+H58</f>
        <v/>
      </c>
      <c r="J58" s="14" t="n"/>
      <c r="K58" s="43">
        <f>J58*(G58+H58)</f>
        <v/>
      </c>
      <c r="L58" s="8" t="n"/>
      <c r="M58" s="6" t="n"/>
      <c r="N58" s="10" t="n"/>
      <c r="O58" s="18" t="n"/>
      <c r="P58" s="32" t="n"/>
      <c r="Q58" s="33" t="n"/>
      <c r="R58" s="34" t="n"/>
      <c r="S58" t="inlineStr">
        <is>
          <t>Tohnichi</t>
        </is>
      </c>
      <c r="T58" t="inlineStr">
        <is>
          <t>CSP100N3X15D+SH15DX1-1/8</t>
        </is>
      </c>
      <c r="U58" t="inlineStr">
        <is>
          <t>1-1/8" head 871 kg-cm torque wrench</t>
        </is>
      </c>
      <c r="V58" t="inlineStr">
        <is>
          <t>https://www.tohnichi.com/?s=CSP100N3X15D+SH15DX1-1/8</t>
        </is>
      </c>
      <c r="W58" t="inlineStr">
        <is>
          <t>OK</t>
        </is>
      </c>
      <c r="X58" t="inlineStr">
        <is>
          <t>MFG inferred from Gemini Products distributor catalog (Tohnichi torque wrenches). Vendor PN matches Tohnichi MFG PN. Verify with Anthony if exact-match required.</t>
        </is>
      </c>
      <c r="Y58" t="inlineStr">
        <is>
          <t>2026-04-29</t>
        </is>
      </c>
    </row>
    <row r="59">
      <c r="A59" s="24" t="inlineStr">
        <is>
          <t>Toolbox/Tool Board</t>
        </is>
      </c>
      <c r="B59" t="inlineStr">
        <is>
          <t>10 mm head 60 kg-cm torque wrench</t>
        </is>
      </c>
      <c r="C59" s="55" t="inlineStr">
        <is>
          <t>Tohnichi</t>
        </is>
      </c>
      <c r="D59" s="4" t="inlineStr">
        <is>
          <t>Gemini Products</t>
        </is>
      </c>
      <c r="E59" s="42" t="inlineStr">
        <is>
          <t>CSP12N4X8D+SH8DX10</t>
        </is>
      </c>
      <c r="F59" s="25" t="inlineStr">
        <is>
          <t>2 per shared toolboard for BIP/ship prep</t>
        </is>
      </c>
      <c r="G59" s="4" t="n">
        <v>28</v>
      </c>
      <c r="H59" s="4" t="n">
        <v>0</v>
      </c>
      <c r="I59" s="12">
        <f>G59+H59</f>
        <v/>
      </c>
      <c r="J59" s="14" t="n"/>
      <c r="K59" s="43">
        <f>J59*(G59+H59)</f>
        <v/>
      </c>
      <c r="L59" s="8" t="n"/>
      <c r="M59" s="6" t="n"/>
      <c r="N59" s="10" t="n"/>
      <c r="O59" s="18" t="n"/>
      <c r="P59" s="32" t="n"/>
      <c r="Q59" s="33" t="n"/>
      <c r="R59" s="34" t="n"/>
      <c r="S59" t="inlineStr">
        <is>
          <t>Tohnichi</t>
        </is>
      </c>
      <c r="T59" t="inlineStr">
        <is>
          <t>CSP12N4X8D+SH8DX10</t>
        </is>
      </c>
      <c r="U59" t="inlineStr">
        <is>
          <t>10 mm head 60 kg-cm torque wrench</t>
        </is>
      </c>
      <c r="V59" t="inlineStr">
        <is>
          <t>https://www.tohnichi.com/?s=CSP12N4X8D+SH8DX10</t>
        </is>
      </c>
      <c r="W59" t="inlineStr">
        <is>
          <t>OK</t>
        </is>
      </c>
      <c r="X59" t="inlineStr">
        <is>
          <t>MFG inferred from Gemini Products distributor catalog (Tohnichi torque wrenches). Vendor PN matches Tohnichi MFG PN. Verify with Anthony if exact-match required.</t>
        </is>
      </c>
      <c r="Y59" t="inlineStr">
        <is>
          <t>2026-04-29</t>
        </is>
      </c>
    </row>
    <row r="60">
      <c r="A60" s="24" t="inlineStr">
        <is>
          <t>Toolbox/Tool Board</t>
        </is>
      </c>
      <c r="B60" t="inlineStr">
        <is>
          <t>9/16" head 250 kg-cm torque wrench</t>
        </is>
      </c>
      <c r="C60" s="55" t="inlineStr">
        <is>
          <t>Tohnichi</t>
        </is>
      </c>
      <c r="D60" s="4" t="inlineStr">
        <is>
          <t>Gemini Products</t>
        </is>
      </c>
      <c r="E60" s="42" t="inlineStr">
        <is>
          <t>CSP50N3X12D+SH12DX9/16</t>
        </is>
      </c>
      <c r="F60" s="25" t="inlineStr">
        <is>
          <t>1 per shared toolboard for BIP/ship prep</t>
        </is>
      </c>
      <c r="G60" s="4" t="n">
        <v>12</v>
      </c>
      <c r="H60" s="4" t="n">
        <v>0</v>
      </c>
      <c r="I60" s="12">
        <f>G60+H60</f>
        <v/>
      </c>
      <c r="J60" s="14" t="n"/>
      <c r="K60" s="43">
        <f>J60*(G60+H60)</f>
        <v/>
      </c>
      <c r="L60" s="8" t="n"/>
      <c r="M60" s="6" t="n"/>
      <c r="N60" s="10" t="n"/>
      <c r="O60" s="18" t="n"/>
      <c r="P60" s="32" t="n"/>
      <c r="Q60" s="33" t="n"/>
      <c r="R60" s="34" t="n"/>
      <c r="S60" t="inlineStr">
        <is>
          <t>Tohnichi</t>
        </is>
      </c>
      <c r="T60" t="inlineStr">
        <is>
          <t>CSP50N3X12D+SH12DX9/16</t>
        </is>
      </c>
      <c r="U60" t="inlineStr">
        <is>
          <t>9/16" head 250 kg-cm torque wrench</t>
        </is>
      </c>
      <c r="V60" t="inlineStr">
        <is>
          <t>https://www.tohnichi.com/?s=CSP50N3X12D+SH12DX9/16</t>
        </is>
      </c>
      <c r="W60" t="inlineStr">
        <is>
          <t>OK</t>
        </is>
      </c>
      <c r="X60" t="inlineStr">
        <is>
          <t>MFG inferred from Gemini Products distributor catalog (Tohnichi torque wrenches). Vendor PN matches Tohnichi MFG PN. Verify with Anthony if exact-match required.</t>
        </is>
      </c>
      <c r="Y60" t="inlineStr">
        <is>
          <t>2026-04-29</t>
        </is>
      </c>
    </row>
    <row r="61">
      <c r="A61" s="24" t="inlineStr">
        <is>
          <t>Toolbox/Tool Board</t>
        </is>
      </c>
      <c r="B61" t="inlineStr">
        <is>
          <t>5/8" head 250 kg-cm torque wrench</t>
        </is>
      </c>
      <c r="C61" s="55" t="inlineStr">
        <is>
          <t>Tohnichi</t>
        </is>
      </c>
      <c r="D61" s="4" t="inlineStr">
        <is>
          <t>Gemini Products</t>
        </is>
      </c>
      <c r="E61" s="42" t="inlineStr">
        <is>
          <t>CSP50N3X12D+SH12DX5/8</t>
        </is>
      </c>
      <c r="F61" s="25" t="inlineStr">
        <is>
          <t>1 per shared toolboard for BIP/ship prep</t>
        </is>
      </c>
      <c r="G61" s="4" t="n">
        <v>12</v>
      </c>
      <c r="H61" s="4" t="n">
        <v>0</v>
      </c>
      <c r="I61" s="12">
        <f>G61+H61</f>
        <v/>
      </c>
      <c r="J61" s="14" t="n"/>
      <c r="K61" s="43">
        <f>J61*(G61+H61)</f>
        <v/>
      </c>
      <c r="L61" s="8" t="n"/>
      <c r="M61" s="6" t="n"/>
      <c r="N61" s="10" t="n"/>
      <c r="O61" s="18" t="n"/>
      <c r="P61" s="32" t="n"/>
      <c r="Q61" s="33" t="n"/>
      <c r="R61" s="34" t="n"/>
      <c r="S61" t="inlineStr">
        <is>
          <t>Tohnichi</t>
        </is>
      </c>
      <c r="T61" t="inlineStr">
        <is>
          <t>CSP50N3X12D+SH12DX5/8</t>
        </is>
      </c>
      <c r="U61" t="inlineStr">
        <is>
          <t>5/8" head 250 kg-cm torque wrench</t>
        </is>
      </c>
      <c r="V61" t="inlineStr">
        <is>
          <t>https://www.tohnichi.com/?s=CSP50N3X12D+SH12DX5/8</t>
        </is>
      </c>
      <c r="W61" t="inlineStr">
        <is>
          <t>OK</t>
        </is>
      </c>
      <c r="X61" t="inlineStr">
        <is>
          <t>MFG inferred from Gemini Products distributor catalog (Tohnichi torque wrenches). Vendor PN matches Tohnichi MFG PN. Verify with Anthony if exact-match required.</t>
        </is>
      </c>
      <c r="Y61" t="inlineStr">
        <is>
          <t>2026-04-29</t>
        </is>
      </c>
    </row>
    <row r="62">
      <c r="A62" s="24" t="inlineStr">
        <is>
          <t>Toolbox/Tool Board</t>
        </is>
      </c>
      <c r="B62" t="inlineStr">
        <is>
          <t>11/16" head 250 kg-cm torque wrench</t>
        </is>
      </c>
      <c r="C62" s="55" t="inlineStr">
        <is>
          <t>Tohnichi</t>
        </is>
      </c>
      <c r="D62" s="4" t="inlineStr">
        <is>
          <t>Gemini Products</t>
        </is>
      </c>
      <c r="E62" s="42" t="inlineStr">
        <is>
          <t>CSP50N3X12D+SH12DX11/16</t>
        </is>
      </c>
      <c r="F62" s="25" t="inlineStr">
        <is>
          <t>1 per shared toolboard for BIP/ship prep</t>
        </is>
      </c>
      <c r="G62" s="4" t="n">
        <v>12</v>
      </c>
      <c r="H62" s="4" t="n">
        <v>0</v>
      </c>
      <c r="I62" s="12">
        <f>G62+H62</f>
        <v/>
      </c>
      <c r="J62" s="14" t="n"/>
      <c r="K62" s="43">
        <f>J62*(G62+H62)</f>
        <v/>
      </c>
      <c r="L62" s="8" t="n"/>
      <c r="M62" s="6" t="n"/>
      <c r="N62" s="10" t="n"/>
      <c r="O62" s="18" t="n"/>
      <c r="P62" s="32" t="n"/>
      <c r="Q62" s="33" t="n"/>
      <c r="R62" s="34" t="n"/>
      <c r="S62" t="inlineStr">
        <is>
          <t>Tohnichi</t>
        </is>
      </c>
      <c r="T62" t="inlineStr">
        <is>
          <t>CSP50N3X12D+SH12DX11/16</t>
        </is>
      </c>
      <c r="U62" t="inlineStr">
        <is>
          <t>11/16" head 250 kg-cm torque wrench</t>
        </is>
      </c>
      <c r="V62" t="inlineStr">
        <is>
          <t>https://www.tohnichi.com/?s=CSP50N3X12D+SH12DX11/16</t>
        </is>
      </c>
      <c r="W62" t="inlineStr">
        <is>
          <t>OK</t>
        </is>
      </c>
      <c r="X62" t="inlineStr">
        <is>
          <t>MFG inferred from Gemini Products distributor catalog (Tohnichi torque wrenches). Vendor PN matches Tohnichi MFG PN. Verify with Anthony if exact-match required.</t>
        </is>
      </c>
      <c r="Y62" t="inlineStr">
        <is>
          <t>2026-04-29</t>
        </is>
      </c>
    </row>
    <row r="63">
      <c r="A63" s="24" t="inlineStr">
        <is>
          <t>Toolbox/Tool Board</t>
        </is>
      </c>
      <c r="B63" t="inlineStr">
        <is>
          <t>14 mm box end 1800 kg-cm torque wrench</t>
        </is>
      </c>
      <c r="C63" s="55" t="inlineStr">
        <is>
          <t>Tohnichi</t>
        </is>
      </c>
      <c r="D63" s="4" t="inlineStr">
        <is>
          <t>Gemini Products</t>
        </is>
      </c>
      <c r="E63" s="42" t="inlineStr">
        <is>
          <t>CSP200N3X19D</t>
        </is>
      </c>
      <c r="F63" s="25" t="inlineStr">
        <is>
          <t>1 per shared toolboard for 362 BIP</t>
        </is>
      </c>
      <c r="G63" s="4" t="n">
        <v>3</v>
      </c>
      <c r="H63" s="4" t="n">
        <v>0</v>
      </c>
      <c r="I63" s="12">
        <f>G63+H63</f>
        <v/>
      </c>
      <c r="J63" s="14" t="n"/>
      <c r="K63" s="43">
        <f>J63*(G63+H63)</f>
        <v/>
      </c>
      <c r="L63" s="8" t="n"/>
      <c r="M63" s="6" t="n"/>
      <c r="N63" s="10" t="n"/>
      <c r="O63" s="18" t="n"/>
      <c r="P63" s="32" t="n"/>
      <c r="Q63" s="33" t="n"/>
      <c r="R63" s="34" t="n"/>
      <c r="S63" t="inlineStr">
        <is>
          <t>Tohnichi</t>
        </is>
      </c>
      <c r="T63" t="inlineStr">
        <is>
          <t>CSP200N3X19D</t>
        </is>
      </c>
      <c r="U63" t="inlineStr">
        <is>
          <t>14 mm box end 1800 kg-cm torque wrench</t>
        </is>
      </c>
      <c r="V63" t="inlineStr">
        <is>
          <t>https://www.tohnichi.com/?s=CSP200N3X19D</t>
        </is>
      </c>
      <c r="W63" t="inlineStr">
        <is>
          <t>OK</t>
        </is>
      </c>
      <c r="X63" t="inlineStr">
        <is>
          <t>MFG inferred from Gemini Products distributor catalog (Tohnichi torque wrenches). Vendor PN matches Tohnichi MFG PN. Verify with Anthony if exact-match required.</t>
        </is>
      </c>
      <c r="Y63" t="inlineStr">
        <is>
          <t>2026-04-29</t>
        </is>
      </c>
    </row>
    <row r="64">
      <c r="A64" s="24" t="inlineStr">
        <is>
          <t>Toolbox/Tool Board</t>
        </is>
      </c>
      <c r="B64" t="inlineStr">
        <is>
          <t>600 kg-cm beam torque wrench</t>
        </is>
      </c>
      <c r="C64" s="55" t="inlineStr">
        <is>
          <t>Tohnichi</t>
        </is>
      </c>
      <c r="D64" s="4" t="inlineStr">
        <is>
          <t>Gemini Products</t>
        </is>
      </c>
      <c r="E64" s="42" t="inlineStr">
        <is>
          <t>F92N</t>
        </is>
      </c>
      <c r="F64" s="25" t="inlineStr">
        <is>
          <t>1 per shared toolboard for 362 BIP</t>
        </is>
      </c>
      <c r="G64" s="4" t="n">
        <v>3</v>
      </c>
      <c r="H64" s="4" t="n">
        <v>0</v>
      </c>
      <c r="I64" s="12">
        <f>G64+H64</f>
        <v/>
      </c>
      <c r="J64" s="14" t="n"/>
      <c r="K64" s="43">
        <f>J64*(G64+H64)</f>
        <v/>
      </c>
      <c r="L64" s="8" t="n"/>
      <c r="M64" s="6" t="n"/>
      <c r="N64" s="10" t="n"/>
      <c r="O64" s="18" t="n"/>
      <c r="P64" s="32" t="n"/>
      <c r="Q64" s="33" t="n"/>
      <c r="R64" s="34" t="n"/>
      <c r="S64" t="inlineStr">
        <is>
          <t>Tohnichi</t>
        </is>
      </c>
      <c r="T64" t="inlineStr">
        <is>
          <t>F92N</t>
        </is>
      </c>
      <c r="U64" t="inlineStr">
        <is>
          <t>600 kg-cm beam torque wrench</t>
        </is>
      </c>
      <c r="V64" t="inlineStr">
        <is>
          <t>https://www.tohnichi.com/?s=F92N</t>
        </is>
      </c>
      <c r="W64" t="inlineStr">
        <is>
          <t>OK</t>
        </is>
      </c>
      <c r="X64" t="inlineStr">
        <is>
          <t>MFG inferred from Gemini Products distributor catalog (Tohnichi torque wrenches). Vendor PN matches Tohnichi MFG PN. Verify with Anthony if exact-match required.</t>
        </is>
      </c>
      <c r="Y64" t="inlineStr">
        <is>
          <t>2026-04-29</t>
        </is>
      </c>
    </row>
    <row r="65">
      <c r="A65" s="24" t="inlineStr">
        <is>
          <t>Toolbox/Tool Board</t>
        </is>
      </c>
      <c r="B65" t="inlineStr">
        <is>
          <t>3200 kg-cm beam torque wrench</t>
        </is>
      </c>
      <c r="C65" s="55" t="inlineStr">
        <is>
          <t>Tohnichi</t>
        </is>
      </c>
      <c r="D65" s="4" t="inlineStr">
        <is>
          <t>Gemini Products</t>
        </is>
      </c>
      <c r="E65" s="42" t="inlineStr">
        <is>
          <t>F420N</t>
        </is>
      </c>
      <c r="F65" s="25" t="inlineStr">
        <is>
          <t>1 per shared toolboard for 362 BIP</t>
        </is>
      </c>
      <c r="G65" s="4" t="n">
        <v>3</v>
      </c>
      <c r="H65" s="4" t="n">
        <v>0</v>
      </c>
      <c r="I65" s="12">
        <f>G65+H65</f>
        <v/>
      </c>
      <c r="J65" s="14" t="n"/>
      <c r="K65" s="43">
        <f>J65*(G65+H65)</f>
        <v/>
      </c>
      <c r="L65" s="8" t="n"/>
      <c r="M65" s="6" t="n"/>
      <c r="N65" s="10" t="n"/>
      <c r="O65" s="18" t="n"/>
      <c r="P65" s="32" t="n"/>
      <c r="Q65" s="33" t="n"/>
      <c r="R65" s="34" t="n"/>
      <c r="S65" t="inlineStr">
        <is>
          <t>Tohnichi</t>
        </is>
      </c>
      <c r="T65" t="inlineStr">
        <is>
          <t>F420N</t>
        </is>
      </c>
      <c r="U65" t="inlineStr">
        <is>
          <t>3200 kg-cm beam torque wrench</t>
        </is>
      </c>
      <c r="V65" t="inlineStr">
        <is>
          <t>https://www.tohnichi.com/?s=F420N</t>
        </is>
      </c>
      <c r="W65" t="inlineStr">
        <is>
          <t>OK</t>
        </is>
      </c>
      <c r="X65" t="inlineStr">
        <is>
          <t>MFG inferred from Gemini Products distributor catalog (Tohnichi torque wrenches). Vendor PN matches Tohnichi MFG PN. Verify with Anthony if exact-match required.</t>
        </is>
      </c>
      <c r="Y65" t="inlineStr">
        <is>
          <t>2026-04-29</t>
        </is>
      </c>
    </row>
    <row r="66">
      <c r="A66" s="24" t="inlineStr">
        <is>
          <t>Toolbox/Tool Board</t>
        </is>
      </c>
      <c r="B66" t="inlineStr">
        <is>
          <t>6mm Hex Impact Socket 1/4 Drive</t>
        </is>
      </c>
      <c r="C66" s="55" t="inlineStr">
        <is>
          <t>Koken</t>
        </is>
      </c>
      <c r="D66" s="4" t="inlineStr">
        <is>
          <t>Keystone Assembly Solutions</t>
        </is>
      </c>
      <c r="E66" s="42" t="inlineStr">
        <is>
          <t>12400M-6</t>
        </is>
      </c>
      <c r="F66" s="25" t="inlineStr">
        <is>
          <t>2 per toolbox</t>
        </is>
      </c>
      <c r="G66" s="4" t="n">
        <v>58</v>
      </c>
      <c r="H66" s="4" t="n">
        <v>5</v>
      </c>
      <c r="I66" s="12">
        <f>G66+H66</f>
        <v/>
      </c>
      <c r="J66" s="14" t="n"/>
      <c r="K66" s="43">
        <f>J66*(G66+H66)</f>
        <v/>
      </c>
      <c r="L66" s="8" t="n"/>
      <c r="M66" s="6" t="n"/>
      <c r="N66" s="10" t="n"/>
      <c r="O66" s="18" t="n"/>
      <c r="P66" s="32" t="n"/>
      <c r="Q66" s="33" t="n"/>
      <c r="R66" s="34" t="n"/>
      <c r="S66" t="inlineStr">
        <is>
          <t>Ko-ken</t>
        </is>
      </c>
      <c r="T66" t="inlineStr">
        <is>
          <t>12400M-6</t>
        </is>
      </c>
      <c r="U66" t="inlineStr">
        <is>
          <t>6mm Hex Impact Socket 1/4 Drive</t>
        </is>
      </c>
      <c r="V66" t="inlineStr">
        <is>
          <t>https://kokenusa.com/?s=12400M-6</t>
        </is>
      </c>
      <c r="W66" t="inlineStr">
        <is>
          <t>OK</t>
        </is>
      </c>
      <c r="X66" t="inlineStr">
        <is>
          <t>MFG inferred from Keystone Assembly Solutions distributor catalog (Ko-ken / Yamashita Industrial Laboratory hex impact sockets). Vendor PN matches Ko-ken MFG PN.</t>
        </is>
      </c>
      <c r="Y66" t="inlineStr">
        <is>
          <t>2026-04-29</t>
        </is>
      </c>
    </row>
    <row r="67">
      <c r="A67" s="24" t="inlineStr">
        <is>
          <t>Toolbox/Tool Board</t>
        </is>
      </c>
      <c r="B67" t="inlineStr">
        <is>
          <t>7mm Hex Impact Socket 1/4 Drive</t>
        </is>
      </c>
      <c r="C67" s="55" t="inlineStr">
        <is>
          <t>Koken</t>
        </is>
      </c>
      <c r="D67" s="4" t="inlineStr">
        <is>
          <t>Keystone Assembly Solutions</t>
        </is>
      </c>
      <c r="E67" s="42" t="inlineStr">
        <is>
          <t>12400M-7</t>
        </is>
      </c>
      <c r="F67" s="25" t="inlineStr">
        <is>
          <t>2 per toolbox</t>
        </is>
      </c>
      <c r="G67" s="4" t="n">
        <v>58</v>
      </c>
      <c r="H67" s="4" t="n">
        <v>5</v>
      </c>
      <c r="I67" s="12">
        <f>G67+H67</f>
        <v/>
      </c>
      <c r="J67" s="14" t="n"/>
      <c r="K67" s="43">
        <f>J67*(G67+H67)</f>
        <v/>
      </c>
      <c r="L67" s="8" t="n"/>
      <c r="M67" s="6" t="n"/>
      <c r="N67" s="10" t="n"/>
      <c r="O67" s="18" t="n"/>
      <c r="P67" s="32" t="n"/>
      <c r="Q67" s="33" t="n"/>
      <c r="R67" s="34" t="n"/>
      <c r="S67" t="inlineStr">
        <is>
          <t>Ko-ken</t>
        </is>
      </c>
      <c r="T67" t="inlineStr">
        <is>
          <t>12400M-7</t>
        </is>
      </c>
      <c r="U67" t="inlineStr">
        <is>
          <t>7mm Hex Impact Socket 1/4 Drive</t>
        </is>
      </c>
      <c r="V67" t="inlineStr">
        <is>
          <t>https://kokenusa.com/?s=12400M-7</t>
        </is>
      </c>
      <c r="W67" t="inlineStr">
        <is>
          <t>OK</t>
        </is>
      </c>
      <c r="X67" t="inlineStr">
        <is>
          <t>MFG inferred from Keystone Assembly Solutions distributor catalog (Ko-ken / Yamashita Industrial Laboratory hex impact sockets). Vendor PN matches Ko-ken MFG PN.</t>
        </is>
      </c>
      <c r="Y67" t="inlineStr">
        <is>
          <t>2026-04-29</t>
        </is>
      </c>
    </row>
    <row r="68">
      <c r="A68" s="24" t="inlineStr">
        <is>
          <t>Toolbox/Tool Board</t>
        </is>
      </c>
      <c r="B68" t="inlineStr">
        <is>
          <t>8mm Hex Impact Socket 1/4 Drive</t>
        </is>
      </c>
      <c r="C68" s="55" t="inlineStr">
        <is>
          <t>Koken</t>
        </is>
      </c>
      <c r="D68" s="4" t="inlineStr">
        <is>
          <t>Keystone Assembly Solutions</t>
        </is>
      </c>
      <c r="E68" s="42" t="inlineStr">
        <is>
          <t>12400M-8</t>
        </is>
      </c>
      <c r="F68" s="25" t="inlineStr">
        <is>
          <t>2 per toolbox</t>
        </is>
      </c>
      <c r="G68" s="4" t="n">
        <v>58</v>
      </c>
      <c r="H68" s="4" t="n">
        <v>5</v>
      </c>
      <c r="I68" s="12">
        <f>G68+H68</f>
        <v/>
      </c>
      <c r="J68" s="14" t="n"/>
      <c r="K68" s="43">
        <f>J68*(G68+H68)</f>
        <v/>
      </c>
      <c r="L68" s="8" t="n"/>
      <c r="M68" s="6" t="n"/>
      <c r="N68" s="10" t="n"/>
      <c r="O68" s="18" t="n"/>
      <c r="P68" s="32" t="n"/>
      <c r="Q68" s="33" t="n"/>
      <c r="R68" s="34" t="n"/>
      <c r="S68" t="inlineStr">
        <is>
          <t>Ko-ken</t>
        </is>
      </c>
      <c r="T68" t="inlineStr">
        <is>
          <t>12400M-8</t>
        </is>
      </c>
      <c r="U68" t="inlineStr">
        <is>
          <t>8mm Hex Impact Socket 1/4 Drive</t>
        </is>
      </c>
      <c r="V68" t="inlineStr">
        <is>
          <t>https://kokenusa.com/?s=12400M-8</t>
        </is>
      </c>
      <c r="W68" t="inlineStr">
        <is>
          <t>OK</t>
        </is>
      </c>
      <c r="X68" t="inlineStr">
        <is>
          <t>MFG inferred from Keystone Assembly Solutions distributor catalog (Ko-ken / Yamashita Industrial Laboratory hex impact sockets). Vendor PN matches Ko-ken MFG PN.</t>
        </is>
      </c>
      <c r="Y68" t="inlineStr">
        <is>
          <t>2026-04-29</t>
        </is>
      </c>
    </row>
    <row r="69">
      <c r="A69" s="24" t="inlineStr">
        <is>
          <t>Toolbox/Tool Board</t>
        </is>
      </c>
      <c r="B69" t="inlineStr">
        <is>
          <t>10mm Hex Impact Socket 1/4 Drive</t>
        </is>
      </c>
      <c r="C69" s="55" t="inlineStr">
        <is>
          <t>Koken</t>
        </is>
      </c>
      <c r="D69" s="4" t="inlineStr">
        <is>
          <t>Keystone Assembly Solutions</t>
        </is>
      </c>
      <c r="E69" s="42" t="inlineStr">
        <is>
          <t>12400M-10</t>
        </is>
      </c>
      <c r="F69" s="25" t="inlineStr">
        <is>
          <t>2 per toolbox</t>
        </is>
      </c>
      <c r="G69" s="4" t="n">
        <v>58</v>
      </c>
      <c r="H69" s="4" t="n">
        <v>5</v>
      </c>
      <c r="I69" s="12">
        <f>G69+H69</f>
        <v/>
      </c>
      <c r="J69" s="14" t="n"/>
      <c r="K69" s="43">
        <f>J69*(G69+H69)</f>
        <v/>
      </c>
      <c r="L69" s="8" t="n"/>
      <c r="M69" s="6" t="n"/>
      <c r="N69" s="10" t="n"/>
      <c r="O69" s="18" t="n"/>
      <c r="P69" s="32" t="n"/>
      <c r="Q69" s="33" t="n"/>
      <c r="R69" s="34" t="n"/>
      <c r="S69" t="inlineStr">
        <is>
          <t>Ko-ken</t>
        </is>
      </c>
      <c r="T69" t="inlineStr">
        <is>
          <t>12400M-10</t>
        </is>
      </c>
      <c r="U69" t="inlineStr">
        <is>
          <t>10mm Hex Impact Socket 1/4 Drive</t>
        </is>
      </c>
      <c r="V69" t="inlineStr">
        <is>
          <t>https://kokenusa.com/?s=12400M-10</t>
        </is>
      </c>
      <c r="W69" t="inlineStr">
        <is>
          <t>OK</t>
        </is>
      </c>
      <c r="X69" t="inlineStr">
        <is>
          <t>MFG inferred from Keystone Assembly Solutions distributor catalog (Ko-ken / Yamashita Industrial Laboratory hex impact sockets). Vendor PN matches Ko-ken MFG PN.</t>
        </is>
      </c>
      <c r="Y69" t="inlineStr">
        <is>
          <t>2026-04-29</t>
        </is>
      </c>
    </row>
    <row r="70">
      <c r="A70" s="24" t="inlineStr">
        <is>
          <t>Toolbox/Tool Board</t>
        </is>
      </c>
      <c r="B70" t="inlineStr">
        <is>
          <t>10mm Hex Impact Socket 3/8 Drive</t>
        </is>
      </c>
      <c r="C70" s="55" t="inlineStr">
        <is>
          <t>Koken</t>
        </is>
      </c>
      <c r="D70" s="4" t="inlineStr">
        <is>
          <t>Keystone Assembly Solutions</t>
        </is>
      </c>
      <c r="E70" s="42" t="inlineStr">
        <is>
          <t>13400M-10</t>
        </is>
      </c>
      <c r="F70" s="25" t="inlineStr">
        <is>
          <t>2 per toolbox</t>
        </is>
      </c>
      <c r="G70" s="4" t="n">
        <v>58</v>
      </c>
      <c r="H70" s="4" t="n">
        <v>3</v>
      </c>
      <c r="I70" s="12">
        <f>G70+H70</f>
        <v/>
      </c>
      <c r="J70" s="14" t="n"/>
      <c r="K70" s="43">
        <f>J70*(G70+H70)</f>
        <v/>
      </c>
      <c r="L70" s="8" t="n"/>
      <c r="M70" s="6" t="n"/>
      <c r="N70" s="10" t="n"/>
      <c r="O70" s="18" t="n"/>
      <c r="P70" s="32" t="n"/>
      <c r="Q70" s="33" t="n"/>
      <c r="R70" s="34" t="n"/>
      <c r="S70" t="inlineStr">
        <is>
          <t>Ko-ken</t>
        </is>
      </c>
      <c r="T70" t="inlineStr">
        <is>
          <t>13400M-10</t>
        </is>
      </c>
      <c r="U70" t="inlineStr">
        <is>
          <t>10mm Hex Impact Socket 3/8 Drive</t>
        </is>
      </c>
      <c r="V70" t="inlineStr">
        <is>
          <t>https://kokenusa.com/?s=13400M-10</t>
        </is>
      </c>
      <c r="W70" t="inlineStr">
        <is>
          <t>OK</t>
        </is>
      </c>
      <c r="X70" t="inlineStr">
        <is>
          <t>MFG inferred from Keystone Assembly Solutions distributor catalog (Ko-ken / Yamashita Industrial Laboratory hex impact sockets). Vendor PN matches Ko-ken MFG PN.</t>
        </is>
      </c>
      <c r="Y70" t="inlineStr">
        <is>
          <t>2026-04-29</t>
        </is>
      </c>
    </row>
    <row r="71">
      <c r="A71" s="24" t="inlineStr">
        <is>
          <t>Toolbox/Tool Board</t>
        </is>
      </c>
      <c r="B71" t="inlineStr">
        <is>
          <t>13mm Hex Impact Socket 1/4 Drive</t>
        </is>
      </c>
      <c r="C71" s="55" t="inlineStr">
        <is>
          <t>Koken</t>
        </is>
      </c>
      <c r="D71" s="4" t="inlineStr">
        <is>
          <t>Keystone Assembly Solutions</t>
        </is>
      </c>
      <c r="E71" s="42" t="inlineStr">
        <is>
          <t>12400M-13</t>
        </is>
      </c>
      <c r="F71" s="25" t="inlineStr">
        <is>
          <t>2 per toolbox</t>
        </is>
      </c>
      <c r="G71" s="4" t="n">
        <v>58</v>
      </c>
      <c r="H71" s="4" t="n">
        <v>3</v>
      </c>
      <c r="I71" s="12">
        <f>G71+H71</f>
        <v/>
      </c>
      <c r="J71" s="14" t="n"/>
      <c r="K71" s="43">
        <f>J71*(G71+H71)</f>
        <v/>
      </c>
      <c r="L71" s="8" t="n"/>
      <c r="M71" s="6" t="n"/>
      <c r="N71" s="10" t="n"/>
      <c r="O71" s="18" t="n"/>
      <c r="P71" s="32" t="n"/>
      <c r="Q71" s="33" t="n"/>
      <c r="R71" s="34" t="n"/>
      <c r="S71" t="inlineStr">
        <is>
          <t>Ko-ken</t>
        </is>
      </c>
      <c r="T71" t="inlineStr">
        <is>
          <t>12400M-13</t>
        </is>
      </c>
      <c r="U71" t="inlineStr">
        <is>
          <t>13mm Hex Impact Socket 1/4 Drive</t>
        </is>
      </c>
      <c r="V71" t="inlineStr">
        <is>
          <t>https://kokenusa.com/?s=12400M-13</t>
        </is>
      </c>
      <c r="W71" t="inlineStr">
        <is>
          <t>OK</t>
        </is>
      </c>
      <c r="X71" t="inlineStr">
        <is>
          <t>MFG inferred from Keystone Assembly Solutions distributor catalog (Ko-ken / Yamashita Industrial Laboratory hex impact sockets). Vendor PN matches Ko-ken MFG PN.</t>
        </is>
      </c>
      <c r="Y71" t="inlineStr">
        <is>
          <t>2026-04-29</t>
        </is>
      </c>
    </row>
    <row r="72">
      <c r="A72" s="24" t="inlineStr">
        <is>
          <t>Toolbox/Tool Board</t>
        </is>
      </c>
      <c r="B72" t="inlineStr">
        <is>
          <t>13mm Hex Impact Socket 3/8 Drive</t>
        </is>
      </c>
      <c r="C72" s="55" t="inlineStr">
        <is>
          <t>Koken</t>
        </is>
      </c>
      <c r="D72" s="4" t="inlineStr">
        <is>
          <t>Keystone Assembly Solutions</t>
        </is>
      </c>
      <c r="E72" s="42" t="inlineStr">
        <is>
          <t>13400M-13</t>
        </is>
      </c>
      <c r="F72" s="25" t="inlineStr">
        <is>
          <t>2 per toolbox</t>
        </is>
      </c>
      <c r="G72" s="4" t="n">
        <v>58</v>
      </c>
      <c r="H72" s="4" t="n">
        <v>3</v>
      </c>
      <c r="I72" s="12">
        <f>G72+H72</f>
        <v/>
      </c>
      <c r="J72" s="14" t="n"/>
      <c r="K72" s="43">
        <f>J72*(G72+H72)</f>
        <v/>
      </c>
      <c r="L72" s="8" t="n"/>
      <c r="M72" s="6" t="n"/>
      <c r="N72" s="10" t="n"/>
      <c r="O72" s="18" t="n"/>
      <c r="P72" s="32" t="n"/>
      <c r="Q72" s="33" t="n"/>
      <c r="R72" s="34" t="n"/>
      <c r="S72" t="inlineStr">
        <is>
          <t>Uline</t>
        </is>
      </c>
      <c r="T72" t="inlineStr">
        <is>
          <t>H-11756-MAP</t>
        </is>
      </c>
      <c r="V72" t="inlineStr">
        <is>
          <t>https://www.uline.com/Product/Detail/H-11756-MAP</t>
        </is>
      </c>
      <c r="W72" t="inlineStr">
        <is>
          <t>MFG_IS_VENDOR</t>
        </is>
      </c>
      <c r="X72" t="inlineStr">
        <is>
          <t>Uline house brand</t>
        </is>
      </c>
      <c r="Y72" t="inlineStr">
        <is>
          <t>2026-04-29</t>
        </is>
      </c>
    </row>
    <row r="73">
      <c r="A73" s="24" t="inlineStr">
        <is>
          <t>Toolbox/Tool Board</t>
        </is>
      </c>
      <c r="B73" t="inlineStr">
        <is>
          <t>17mm Hex Impact Socket 3/8 Drive</t>
        </is>
      </c>
      <c r="C73" s="55" t="inlineStr">
        <is>
          <t>Koken</t>
        </is>
      </c>
      <c r="D73" s="4" t="inlineStr">
        <is>
          <t>Keystone Assembly Solutions</t>
        </is>
      </c>
      <c r="E73" s="42" t="inlineStr">
        <is>
          <t>13400M-17</t>
        </is>
      </c>
      <c r="F73" s="25" t="inlineStr">
        <is>
          <t>2 per toolbox</t>
        </is>
      </c>
      <c r="G73" s="4" t="n">
        <v>58</v>
      </c>
      <c r="H73" s="4" t="n">
        <v>3</v>
      </c>
      <c r="I73" s="12">
        <f>G73+H73</f>
        <v/>
      </c>
      <c r="J73" s="14" t="n"/>
      <c r="K73" s="43">
        <f>J73*(G73+H73)</f>
        <v/>
      </c>
      <c r="L73" s="8" t="n"/>
      <c r="M73" s="6" t="n"/>
      <c r="N73" s="10" t="n"/>
      <c r="O73" s="18" t="n"/>
      <c r="P73" s="32" t="n"/>
      <c r="Q73" s="33" t="n"/>
      <c r="R73" s="34" t="n"/>
      <c r="S73" t="inlineStr">
        <is>
          <t>Ko-ken</t>
        </is>
      </c>
      <c r="T73" t="inlineStr">
        <is>
          <t>13400M-17</t>
        </is>
      </c>
      <c r="U73" t="inlineStr">
        <is>
          <t>17mm Hex Impact Socket 3/8 Drive</t>
        </is>
      </c>
      <c r="V73" t="inlineStr">
        <is>
          <t>https://kokenusa.com/?s=13400M-17</t>
        </is>
      </c>
      <c r="W73" t="inlineStr">
        <is>
          <t>OK</t>
        </is>
      </c>
      <c r="X73" t="inlineStr">
        <is>
          <t>MFG inferred from Keystone Assembly Solutions distributor catalog (Ko-ken / Yamashita Industrial Laboratory hex impact sockets). Vendor PN matches Ko-ken MFG PN.</t>
        </is>
      </c>
      <c r="Y73" t="inlineStr">
        <is>
          <t>2026-04-29</t>
        </is>
      </c>
    </row>
    <row r="74">
      <c r="A74" s="24" t="inlineStr">
        <is>
          <t>Toolbox/Tool Board</t>
        </is>
      </c>
      <c r="B74" t="inlineStr">
        <is>
          <t>17mm Hex Impact Socket 1/2 Drive</t>
        </is>
      </c>
      <c r="C74" s="55" t="inlineStr">
        <is>
          <t>Koken</t>
        </is>
      </c>
      <c r="D74" s="4" t="inlineStr">
        <is>
          <t>Keystone Assembly Solutions</t>
        </is>
      </c>
      <c r="E74" s="42" t="inlineStr">
        <is>
          <t>14401M-17</t>
        </is>
      </c>
      <c r="F74" s="25" t="inlineStr">
        <is>
          <t>2 per toolbox</t>
        </is>
      </c>
      <c r="G74" s="4" t="n">
        <v>58</v>
      </c>
      <c r="H74" s="4" t="n">
        <v>3</v>
      </c>
      <c r="I74" s="12">
        <f>G74+H74</f>
        <v/>
      </c>
      <c r="J74" s="14" t="n"/>
      <c r="K74" s="43">
        <f>J74*(G74+H74)</f>
        <v/>
      </c>
      <c r="L74" s="8" t="n"/>
      <c r="M74" s="6" t="n"/>
      <c r="N74" s="10" t="n"/>
      <c r="O74" s="18" t="n"/>
      <c r="P74" s="32" t="n"/>
      <c r="Q74" s="33" t="n"/>
      <c r="R74" s="34" t="n"/>
      <c r="S74" t="inlineStr">
        <is>
          <t>Ko-ken</t>
        </is>
      </c>
      <c r="T74" t="inlineStr">
        <is>
          <t>14401M-17</t>
        </is>
      </c>
      <c r="U74" t="inlineStr">
        <is>
          <t>17mm Hex Impact Socket 1/2 Drive</t>
        </is>
      </c>
      <c r="V74" t="inlineStr">
        <is>
          <t>https://kokenusa.com/?s=14401M-17</t>
        </is>
      </c>
      <c r="W74" t="inlineStr">
        <is>
          <t>OK</t>
        </is>
      </c>
      <c r="X74" t="inlineStr">
        <is>
          <t>MFG inferred from Keystone Assembly Solutions distributor catalog (Ko-ken / Yamashita Industrial Laboratory hex impact sockets). Vendor PN matches Ko-ken MFG PN.</t>
        </is>
      </c>
      <c r="Y74" t="inlineStr">
        <is>
          <t>2026-04-29</t>
        </is>
      </c>
    </row>
    <row r="75">
      <c r="A75" s="24" t="inlineStr">
        <is>
          <t>Toolbox/Tool Board</t>
        </is>
      </c>
      <c r="B75" t="inlineStr">
        <is>
          <t>17mm Hex Impact Socket Deep 1/2 Drive</t>
        </is>
      </c>
      <c r="C75" s="55" t="inlineStr">
        <is>
          <t>Koken</t>
        </is>
      </c>
      <c r="D75" s="4" t="inlineStr">
        <is>
          <t>Keystone Assembly Solutions</t>
        </is>
      </c>
      <c r="E75" s="42" t="inlineStr">
        <is>
          <t>14301M-17</t>
        </is>
      </c>
      <c r="F75" s="25" t="inlineStr">
        <is>
          <t>2 per toolbox</t>
        </is>
      </c>
      <c r="G75" s="4" t="n">
        <v>58</v>
      </c>
      <c r="H75" s="4" t="n">
        <v>3</v>
      </c>
      <c r="I75" s="12">
        <f>G75+H75</f>
        <v/>
      </c>
      <c r="J75" s="14" t="n"/>
      <c r="K75" s="43">
        <f>J75*(G75+H75)</f>
        <v/>
      </c>
      <c r="L75" s="8" t="n"/>
      <c r="M75" s="6" t="n"/>
      <c r="N75" s="10" t="n"/>
      <c r="O75" s="18" t="n"/>
      <c r="P75" s="32" t="n"/>
      <c r="Q75" s="33" t="n"/>
      <c r="R75" s="34" t="n"/>
      <c r="S75" t="inlineStr">
        <is>
          <t>Ko-ken</t>
        </is>
      </c>
      <c r="T75" t="inlineStr">
        <is>
          <t>14301M-17</t>
        </is>
      </c>
      <c r="U75" t="inlineStr">
        <is>
          <t>17mm Hex Impact Socket Deep 1/2 Drive</t>
        </is>
      </c>
      <c r="V75" t="inlineStr">
        <is>
          <t>https://kokenusa.com/?s=14301M-17</t>
        </is>
      </c>
      <c r="W75" t="inlineStr">
        <is>
          <t>OK</t>
        </is>
      </c>
      <c r="X75" t="inlineStr">
        <is>
          <t>MFG inferred from Keystone Assembly Solutions distributor catalog (Ko-ken / Yamashita Industrial Laboratory hex impact sockets). Vendor PN matches Ko-ken MFG PN.</t>
        </is>
      </c>
      <c r="Y75" t="inlineStr">
        <is>
          <t>2026-04-29</t>
        </is>
      </c>
    </row>
    <row r="76">
      <c r="A76" s="24" t="inlineStr">
        <is>
          <t>Toolbox/Tool Board</t>
        </is>
      </c>
      <c r="B76" t="inlineStr">
        <is>
          <t>19mm Hex Impact Socket 1/2 Drive</t>
        </is>
      </c>
      <c r="C76" s="55" t="inlineStr">
        <is>
          <t>Koken</t>
        </is>
      </c>
      <c r="D76" s="4" t="inlineStr">
        <is>
          <t>Keystone Assembly Solutions</t>
        </is>
      </c>
      <c r="E76" s="42" t="inlineStr">
        <is>
          <t>14401M-19</t>
        </is>
      </c>
      <c r="F76" s="25" t="inlineStr">
        <is>
          <t>2 per toolbox</t>
        </is>
      </c>
      <c r="G76" s="4" t="n">
        <v>58</v>
      </c>
      <c r="H76" s="4" t="n">
        <v>3</v>
      </c>
      <c r="I76" s="12">
        <f>G76+H76</f>
        <v/>
      </c>
      <c r="J76" s="14" t="n"/>
      <c r="K76" s="43">
        <f>J76*(G76+H76)</f>
        <v/>
      </c>
      <c r="L76" s="8" t="n"/>
      <c r="M76" s="6" t="n"/>
      <c r="N76" s="10" t="n"/>
      <c r="O76" s="18" t="n"/>
      <c r="P76" s="32" t="n"/>
      <c r="Q76" s="33" t="n"/>
      <c r="R76" s="34" t="n"/>
      <c r="S76" t="inlineStr">
        <is>
          <t>Ko-ken</t>
        </is>
      </c>
      <c r="T76" t="inlineStr">
        <is>
          <t>14401M-19</t>
        </is>
      </c>
      <c r="U76" t="inlineStr">
        <is>
          <t>19mm Hex Impact Socket 1/2 Drive</t>
        </is>
      </c>
      <c r="V76" t="inlineStr">
        <is>
          <t>https://kokenusa.com/?s=14401M-19</t>
        </is>
      </c>
      <c r="W76" t="inlineStr">
        <is>
          <t>OK</t>
        </is>
      </c>
      <c r="X76" t="inlineStr">
        <is>
          <t>MFG inferred from Keystone Assembly Solutions distributor catalog (Ko-ken / Yamashita Industrial Laboratory hex impact sockets). Vendor PN matches Ko-ken MFG PN.</t>
        </is>
      </c>
      <c r="Y76" t="inlineStr">
        <is>
          <t>2026-04-29</t>
        </is>
      </c>
    </row>
    <row r="77">
      <c r="A77" s="24" t="inlineStr">
        <is>
          <t>Toolbox/Tool Board</t>
        </is>
      </c>
      <c r="B77" t="inlineStr">
        <is>
          <t>19mm Hex Impact Socket Deep 1/2 Drive</t>
        </is>
      </c>
      <c r="C77" s="55" t="inlineStr">
        <is>
          <t>Koken</t>
        </is>
      </c>
      <c r="D77" s="4" t="inlineStr">
        <is>
          <t>Keystone Assembly Solutions</t>
        </is>
      </c>
      <c r="E77" s="42" t="inlineStr">
        <is>
          <t>14301M-19</t>
        </is>
      </c>
      <c r="F77" s="25" t="inlineStr">
        <is>
          <t>2 per toolbox</t>
        </is>
      </c>
      <c r="G77" s="4" t="n">
        <v>58</v>
      </c>
      <c r="H77" s="4" t="n">
        <v>3</v>
      </c>
      <c r="I77" s="12">
        <f>G77+H77</f>
        <v/>
      </c>
      <c r="J77" s="14" t="n"/>
      <c r="K77" s="43">
        <f>J77*(G77+H77)</f>
        <v/>
      </c>
      <c r="L77" s="8" t="n"/>
      <c r="M77" s="6" t="n"/>
      <c r="N77" s="10" t="n"/>
      <c r="O77" s="18" t="n"/>
      <c r="P77" s="32" t="n"/>
      <c r="Q77" s="33" t="n"/>
      <c r="R77" s="34" t="n"/>
      <c r="S77" t="inlineStr">
        <is>
          <t>Ko-ken</t>
        </is>
      </c>
      <c r="T77" t="inlineStr">
        <is>
          <t>14301M-19</t>
        </is>
      </c>
      <c r="U77" t="inlineStr">
        <is>
          <t>19mm Hex Impact Socket Deep 1/2 Drive</t>
        </is>
      </c>
      <c r="V77" t="inlineStr">
        <is>
          <t>https://kokenusa.com/?s=14301M-19</t>
        </is>
      </c>
      <c r="W77" t="inlineStr">
        <is>
          <t>OK</t>
        </is>
      </c>
      <c r="X77" t="inlineStr">
        <is>
          <t>MFG inferred from Keystone Assembly Solutions distributor catalog (Ko-ken / Yamashita Industrial Laboratory hex impact sockets). Vendor PN matches Ko-ken MFG PN.</t>
        </is>
      </c>
      <c r="Y77" t="inlineStr">
        <is>
          <t>2026-04-29</t>
        </is>
      </c>
    </row>
    <row r="78">
      <c r="A78" s="24" t="inlineStr">
        <is>
          <t>Toolbox/Tool Board</t>
        </is>
      </c>
      <c r="B78" t="inlineStr">
        <is>
          <t>24mm Hex Impact Socket 1/2 Drive</t>
        </is>
      </c>
      <c r="C78" s="55" t="inlineStr">
        <is>
          <t>Koken</t>
        </is>
      </c>
      <c r="D78" s="4" t="inlineStr">
        <is>
          <t>Keystone Assembly Solutions</t>
        </is>
      </c>
      <c r="E78" s="42" t="inlineStr">
        <is>
          <t>14401M-24</t>
        </is>
      </c>
      <c r="F78" s="25" t="inlineStr">
        <is>
          <t>2 per toolbox</t>
        </is>
      </c>
      <c r="G78" s="4" t="n">
        <v>58</v>
      </c>
      <c r="H78" s="4" t="n">
        <v>1</v>
      </c>
      <c r="I78" s="12">
        <f>G78+H78</f>
        <v/>
      </c>
      <c r="J78" s="14" t="n"/>
      <c r="K78" s="43">
        <f>J78*(G78+H78)</f>
        <v/>
      </c>
      <c r="L78" s="8" t="n"/>
      <c r="M78" s="6" t="n"/>
      <c r="N78" s="10" t="n"/>
      <c r="O78" s="18" t="n"/>
      <c r="P78" s="32" t="n"/>
      <c r="Q78" s="33" t="n"/>
      <c r="R78" s="34" t="n"/>
      <c r="S78" t="inlineStr">
        <is>
          <t>Ko-ken</t>
        </is>
      </c>
      <c r="T78" t="inlineStr">
        <is>
          <t>14401M-24</t>
        </is>
      </c>
      <c r="U78" t="inlineStr">
        <is>
          <t>24mm Hex Impact Socket 1/2 Drive</t>
        </is>
      </c>
      <c r="V78" t="inlineStr">
        <is>
          <t>https://kokenusa.com/?s=14401M-24</t>
        </is>
      </c>
      <c r="W78" t="inlineStr">
        <is>
          <t>OK</t>
        </is>
      </c>
      <c r="X78" t="inlineStr">
        <is>
          <t>MFG inferred from Keystone Assembly Solutions distributor catalog (Ko-ken / Yamashita Industrial Laboratory hex impact sockets). Vendor PN matches Ko-ken MFG PN.</t>
        </is>
      </c>
      <c r="Y78" t="inlineStr">
        <is>
          <t>2026-04-29</t>
        </is>
      </c>
    </row>
    <row r="79">
      <c r="A79" s="24" t="inlineStr">
        <is>
          <t>Toolbox/Tool Board</t>
        </is>
      </c>
      <c r="B79" t="inlineStr">
        <is>
          <t>24mm Hex Impact Socket Deep 1/2 Drive</t>
        </is>
      </c>
      <c r="C79" s="55" t="inlineStr">
        <is>
          <t>Koken</t>
        </is>
      </c>
      <c r="D79" s="4" t="inlineStr">
        <is>
          <t>Keystone Assembly Solutions</t>
        </is>
      </c>
      <c r="E79" s="42" t="inlineStr">
        <is>
          <t>14301M-24</t>
        </is>
      </c>
      <c r="F79" s="25" t="inlineStr">
        <is>
          <t>2 per toolbox</t>
        </is>
      </c>
      <c r="G79" s="4" t="n">
        <v>58</v>
      </c>
      <c r="H79" s="4" t="n">
        <v>1</v>
      </c>
      <c r="I79" s="12">
        <f>G79+H79</f>
        <v/>
      </c>
      <c r="J79" s="14" t="n"/>
      <c r="K79" s="43">
        <f>J79*(G79+H79)</f>
        <v/>
      </c>
      <c r="L79" s="8" t="n"/>
      <c r="M79" s="6" t="n"/>
      <c r="N79" s="10" t="n"/>
      <c r="O79" s="18" t="n"/>
      <c r="P79" s="32" t="n"/>
      <c r="Q79" s="33" t="n"/>
      <c r="R79" s="34" t="n"/>
      <c r="S79" t="inlineStr">
        <is>
          <t>Ko-ken</t>
        </is>
      </c>
      <c r="T79" t="inlineStr">
        <is>
          <t>14301M-24</t>
        </is>
      </c>
      <c r="U79" t="inlineStr">
        <is>
          <t>24mm Hex Impact Socket Deep 1/2 Drive</t>
        </is>
      </c>
      <c r="V79" t="inlineStr">
        <is>
          <t>https://kokenusa.com/?s=14301M-24</t>
        </is>
      </c>
      <c r="W79" t="inlineStr">
        <is>
          <t>OK</t>
        </is>
      </c>
      <c r="X79" t="inlineStr">
        <is>
          <t>MFG inferred from Keystone Assembly Solutions distributor catalog (Ko-ken / Yamashita Industrial Laboratory hex impact sockets). Vendor PN matches Ko-ken MFG PN.</t>
        </is>
      </c>
      <c r="Y79" t="inlineStr">
        <is>
          <t>2026-04-29</t>
        </is>
      </c>
    </row>
    <row r="80">
      <c r="A80" s="24" t="inlineStr">
        <is>
          <t>Toolbox/Tool Board</t>
        </is>
      </c>
      <c r="B80" t="inlineStr">
        <is>
          <t>30mm Hex Impact Socket 3/4 Drive</t>
        </is>
      </c>
      <c r="C80" s="55" t="inlineStr">
        <is>
          <t>Koken</t>
        </is>
      </c>
      <c r="D80" s="4" t="inlineStr">
        <is>
          <t>Keystone Assembly Solutions</t>
        </is>
      </c>
      <c r="E80" s="42" t="inlineStr">
        <is>
          <t>16400M-30</t>
        </is>
      </c>
      <c r="F80" s="25" t="inlineStr">
        <is>
          <t>2 per toolbox</t>
        </is>
      </c>
      <c r="G80" s="4" t="n">
        <v>58</v>
      </c>
      <c r="H80" s="4" t="n">
        <v>1</v>
      </c>
      <c r="I80" s="12">
        <f>G80+H80</f>
        <v/>
      </c>
      <c r="J80" s="14" t="n"/>
      <c r="K80" s="43">
        <f>J80*(G80+H80)</f>
        <v/>
      </c>
      <c r="L80" s="8" t="n"/>
      <c r="M80" s="6" t="n"/>
      <c r="N80" s="10" t="n"/>
      <c r="O80" s="18" t="n"/>
      <c r="P80" s="32" t="n"/>
      <c r="Q80" s="33" t="n"/>
      <c r="R80" s="34" t="n"/>
      <c r="S80" t="inlineStr">
        <is>
          <t>Ko-ken</t>
        </is>
      </c>
      <c r="T80" t="inlineStr">
        <is>
          <t>16400M-30</t>
        </is>
      </c>
      <c r="U80" t="inlineStr">
        <is>
          <t>30mm Hex Impact Socket 3/4 Drive</t>
        </is>
      </c>
      <c r="V80" t="inlineStr">
        <is>
          <t>https://kokenusa.com/?s=16400M-30</t>
        </is>
      </c>
      <c r="W80" t="inlineStr">
        <is>
          <t>OK</t>
        </is>
      </c>
      <c r="X80" t="inlineStr">
        <is>
          <t>MFG inferred from Keystone Assembly Solutions distributor catalog (Ko-ken / Yamashita Industrial Laboratory hex impact sockets). Vendor PN matches Ko-ken MFG PN.</t>
        </is>
      </c>
      <c r="Y80" t="inlineStr">
        <is>
          <t>2026-04-29</t>
        </is>
      </c>
    </row>
    <row r="81">
      <c r="A81" s="24" t="inlineStr">
        <is>
          <t>Toolbox/Tool Board</t>
        </is>
      </c>
      <c r="B81" t="inlineStr">
        <is>
          <t>36mm Hex Impact Socket 3/4 Drive</t>
        </is>
      </c>
      <c r="C81" s="55" t="inlineStr">
        <is>
          <t>Koken</t>
        </is>
      </c>
      <c r="D81" s="4" t="inlineStr">
        <is>
          <t>Keystone Assembly Solutions</t>
        </is>
      </c>
      <c r="E81" s="42" t="inlineStr">
        <is>
          <t>16400M-36</t>
        </is>
      </c>
      <c r="F81" s="25" t="inlineStr">
        <is>
          <t>2 per toolbox</t>
        </is>
      </c>
      <c r="G81" s="4" t="n">
        <v>58</v>
      </c>
      <c r="H81" s="4" t="n">
        <v>1</v>
      </c>
      <c r="I81" s="12">
        <f>G81+H81</f>
        <v/>
      </c>
      <c r="J81" s="14" t="n"/>
      <c r="K81" s="43">
        <f>J81*(G81+H81)</f>
        <v/>
      </c>
      <c r="L81" s="8" t="n"/>
      <c r="M81" s="6" t="n"/>
      <c r="N81" s="10" t="n"/>
      <c r="O81" s="18" t="n"/>
      <c r="P81" s="32" t="n"/>
      <c r="Q81" s="33" t="n"/>
      <c r="R81" s="34" t="n"/>
      <c r="S81" t="inlineStr">
        <is>
          <t>Ko-ken</t>
        </is>
      </c>
      <c r="T81" t="inlineStr">
        <is>
          <t>16400M-36</t>
        </is>
      </c>
      <c r="U81" t="inlineStr">
        <is>
          <t>36mm Hex Impact Socket 3/4 Drive</t>
        </is>
      </c>
      <c r="V81" t="inlineStr">
        <is>
          <t>https://kokenusa.com/?s=16400M-36</t>
        </is>
      </c>
      <c r="W81" t="inlineStr">
        <is>
          <t>OK</t>
        </is>
      </c>
      <c r="X81" t="inlineStr">
        <is>
          <t>MFG inferred from Keystone Assembly Solutions distributor catalog (Ko-ken / Yamashita Industrial Laboratory hex impact sockets). Vendor PN matches Ko-ken MFG PN.</t>
        </is>
      </c>
      <c r="Y81" t="inlineStr">
        <is>
          <t>2026-04-29</t>
        </is>
      </c>
    </row>
    <row r="82">
      <c r="A82" s="24" t="inlineStr">
        <is>
          <t>Toolbox/Tool Board</t>
        </is>
      </c>
      <c r="B82" t="inlineStr">
        <is>
          <t>46mm Hex Impact Socket 3/4 Drive</t>
        </is>
      </c>
      <c r="C82" s="55" t="inlineStr">
        <is>
          <t>Koken</t>
        </is>
      </c>
      <c r="D82" s="4" t="inlineStr">
        <is>
          <t>Keystone Assembly Solutions</t>
        </is>
      </c>
      <c r="E82" s="42" t="inlineStr">
        <is>
          <t>16400M-46</t>
        </is>
      </c>
      <c r="F82" s="25" t="inlineStr">
        <is>
          <t>1 per toolbox for 245/362 BIP cells</t>
        </is>
      </c>
      <c r="G82" s="4" t="n">
        <v>14</v>
      </c>
      <c r="H82" s="4" t="n">
        <v>1</v>
      </c>
      <c r="I82" s="12">
        <f>G82+H82</f>
        <v/>
      </c>
      <c r="J82" s="14" t="n"/>
      <c r="K82" s="43">
        <f>J82*(G82+H82)</f>
        <v/>
      </c>
      <c r="L82" s="8" t="n"/>
      <c r="M82" s="6" t="n"/>
      <c r="N82" s="10" t="n"/>
      <c r="O82" s="18" t="n"/>
      <c r="P82" s="32" t="n"/>
      <c r="Q82" s="33" t="n"/>
      <c r="R82" s="34" t="n"/>
      <c r="S82" t="inlineStr">
        <is>
          <t>Ko-ken</t>
        </is>
      </c>
      <c r="T82" t="inlineStr">
        <is>
          <t>16400M-46</t>
        </is>
      </c>
      <c r="U82" t="inlineStr">
        <is>
          <t>46mm Hex Impact Socket 3/4 Drive</t>
        </is>
      </c>
      <c r="V82" t="inlineStr">
        <is>
          <t>https://kokenusa.com/?s=16400M-46</t>
        </is>
      </c>
      <c r="W82" t="inlineStr">
        <is>
          <t>OK</t>
        </is>
      </c>
      <c r="X82" t="inlineStr">
        <is>
          <t>MFG inferred from Keystone Assembly Solutions distributor catalog (Ko-ken / Yamashita Industrial Laboratory hex impact sockets). Vendor PN matches Ko-ken MFG PN.</t>
        </is>
      </c>
      <c r="Y82" t="inlineStr">
        <is>
          <t>2026-04-29</t>
        </is>
      </c>
    </row>
    <row r="83">
      <c r="A83" s="24" t="inlineStr">
        <is>
          <t>Toolbox/Tool Board</t>
        </is>
      </c>
      <c r="B83" t="inlineStr">
        <is>
          <t>Socket Driver</t>
        </is>
      </c>
      <c r="C83" s="55" t="inlineStr">
        <is>
          <t>Proto</t>
        </is>
      </c>
      <c r="D83" s="4" t="inlineStr">
        <is>
          <t>Fastenal</t>
        </is>
      </c>
      <c r="E83" s="42" t="inlineStr">
        <is>
          <t>2150462</t>
        </is>
      </c>
      <c r="F83" s="25" t="inlineStr">
        <is>
          <t>2 per toolbox</t>
        </is>
      </c>
      <c r="G83" s="4" t="n">
        <v>58</v>
      </c>
      <c r="H83" s="4" t="n">
        <v>1</v>
      </c>
      <c r="I83" s="12">
        <f>G83+H83</f>
        <v/>
      </c>
      <c r="J83" s="14" t="n"/>
      <c r="K83" s="43">
        <f>J83*(G83+H83)</f>
        <v/>
      </c>
      <c r="L83" s="8" t="n"/>
      <c r="M83" s="6" t="n"/>
      <c r="N83" s="10" t="n"/>
      <c r="O83" s="18" t="n"/>
      <c r="P83" s="32" t="n"/>
      <c r="Q83" s="33" t="n"/>
      <c r="R83" s="34" t="n"/>
      <c r="S83" t="inlineStr">
        <is>
          <t>STANLEY PROTO TOOLS</t>
        </is>
      </c>
      <c r="T83" t="inlineStr">
        <is>
          <t>J4769</t>
        </is>
      </c>
      <c r="V83" t="inlineStr">
        <is>
          <t>https://www.fastenal.com/product/details/2150462</t>
        </is>
      </c>
      <c r="W83" t="inlineStr">
        <is>
          <t>OK</t>
        </is>
      </c>
      <c r="X83" t="inlineStr">
        <is>
          <t>Fastenal anti-bot blocked automated lookup (interstitial title: 'Access Denied'). Manual lookup needed.</t>
        </is>
      </c>
      <c r="Y83" t="inlineStr">
        <is>
          <t>2026-04-29</t>
        </is>
      </c>
    </row>
    <row r="84">
      <c r="A84" s="24" t="inlineStr">
        <is>
          <t>Toolbox/Tool Board</t>
        </is>
      </c>
      <c r="B84" t="inlineStr">
        <is>
          <t>5mm Hex Impact Bit Socket</t>
        </is>
      </c>
      <c r="C84" s="55" t="inlineStr">
        <is>
          <t>Gearwrench</t>
        </is>
      </c>
      <c r="D84" s="4" t="inlineStr">
        <is>
          <t>Fastenal</t>
        </is>
      </c>
      <c r="E84" s="42" t="inlineStr">
        <is>
          <t>0251288</t>
        </is>
      </c>
      <c r="F84" s="25" t="inlineStr">
        <is>
          <t>2 per toolbox</t>
        </is>
      </c>
      <c r="G84" s="4" t="n">
        <v>58</v>
      </c>
      <c r="H84" s="4" t="n">
        <v>5</v>
      </c>
      <c r="I84" s="12">
        <f>G84+H84</f>
        <v/>
      </c>
      <c r="J84" s="14" t="n"/>
      <c r="K84" s="43">
        <f>J84*(G84+H84)</f>
        <v/>
      </c>
      <c r="L84" s="8" t="n"/>
      <c r="M84" s="6" t="n"/>
      <c r="N84" s="10" t="n"/>
      <c r="O84" s="18" t="n"/>
      <c r="P84" s="32" t="n"/>
      <c r="Q84" s="33" t="n"/>
      <c r="R84" s="34" t="n"/>
      <c r="S84" t="inlineStr">
        <is>
          <t>GEARWRENCH</t>
        </is>
      </c>
      <c r="T84" t="inlineStr">
        <is>
          <t>84390</t>
        </is>
      </c>
      <c r="V84" t="inlineStr">
        <is>
          <t>https://www.fastenal.com/product/details/0251288</t>
        </is>
      </c>
      <c r="W84" t="inlineStr">
        <is>
          <t>OK</t>
        </is>
      </c>
      <c r="X84" t="inlineStr">
        <is>
          <t>Brand=GEARWRENCH; Manufacturer=APEX TOOL GROUP</t>
        </is>
      </c>
      <c r="Y84" t="inlineStr">
        <is>
          <t>2026-04-29</t>
        </is>
      </c>
    </row>
    <row r="85">
      <c r="A85" s="24" t="inlineStr">
        <is>
          <t>Toolbox/Tool Board</t>
        </is>
      </c>
      <c r="B85" t="inlineStr">
        <is>
          <t>6mm Hex Impact Bit Socket</t>
        </is>
      </c>
      <c r="C85" s="55" t="inlineStr">
        <is>
          <t>Gearwrench</t>
        </is>
      </c>
      <c r="D85" s="4" t="inlineStr">
        <is>
          <t>Fastenal</t>
        </is>
      </c>
      <c r="E85" s="42" t="inlineStr">
        <is>
          <t>0251289</t>
        </is>
      </c>
      <c r="F85" s="25" t="inlineStr">
        <is>
          <t>2 per toolbox</t>
        </is>
      </c>
      <c r="G85" s="4" t="n">
        <v>58</v>
      </c>
      <c r="H85" s="4" t="n">
        <v>5</v>
      </c>
      <c r="I85" s="12">
        <f>G85+H85</f>
        <v/>
      </c>
      <c r="J85" s="14" t="n"/>
      <c r="K85" s="43">
        <f>J85*(G85+H85)</f>
        <v/>
      </c>
      <c r="L85" s="8" t="n"/>
      <c r="M85" s="6" t="n"/>
      <c r="N85" s="10" t="n"/>
      <c r="O85" s="18" t="n"/>
      <c r="P85" s="32" t="n"/>
      <c r="Q85" s="33" t="n"/>
      <c r="R85" s="34" t="n"/>
      <c r="S85" t="inlineStr">
        <is>
          <t>GEARWRENCH</t>
        </is>
      </c>
      <c r="T85" t="inlineStr">
        <is>
          <t>84391</t>
        </is>
      </c>
      <c r="V85" t="inlineStr">
        <is>
          <t>https://www.fastenal.com/product/details/0251289</t>
        </is>
      </c>
      <c r="W85" t="inlineStr">
        <is>
          <t>OK</t>
        </is>
      </c>
      <c r="X85" t="inlineStr">
        <is>
          <t>Brand=GEARWRENCH; Manufacturer=APEX TOOL GROUP</t>
        </is>
      </c>
      <c r="Y85" t="inlineStr">
        <is>
          <t>2026-04-29</t>
        </is>
      </c>
    </row>
    <row r="86">
      <c r="A86" s="24" t="inlineStr">
        <is>
          <t>Toolbox/Tool Board</t>
        </is>
      </c>
      <c r="B86" t="inlineStr">
        <is>
          <t>8mm Hex Impact Bit Socket</t>
        </is>
      </c>
      <c r="C86" s="55" t="inlineStr">
        <is>
          <t>Gearwrench</t>
        </is>
      </c>
      <c r="D86" s="4" t="inlineStr">
        <is>
          <t>Fastenal</t>
        </is>
      </c>
      <c r="E86" s="42" t="inlineStr">
        <is>
          <t>0251291</t>
        </is>
      </c>
      <c r="F86" s="25" t="inlineStr">
        <is>
          <t>2 per toolbox</t>
        </is>
      </c>
      <c r="G86" s="4" t="n">
        <v>58</v>
      </c>
      <c r="H86" s="4" t="n">
        <v>5</v>
      </c>
      <c r="I86" s="12">
        <f>G86+H86</f>
        <v/>
      </c>
      <c r="J86" s="14" t="n"/>
      <c r="K86" s="43">
        <f>J86*(G86+H86)</f>
        <v/>
      </c>
      <c r="L86" s="8" t="n"/>
      <c r="M86" s="6" t="n"/>
      <c r="N86" s="10" t="n"/>
      <c r="O86" s="18" t="n"/>
      <c r="P86" s="32" t="n"/>
      <c r="Q86" s="33" t="n"/>
      <c r="R86" s="34" t="n"/>
      <c r="S86" t="inlineStr">
        <is>
          <t>GEARWRENCH</t>
        </is>
      </c>
      <c r="T86" t="inlineStr">
        <is>
          <t>84393</t>
        </is>
      </c>
      <c r="V86" t="inlineStr">
        <is>
          <t>https://www.fastenal.com/product/details/0251291</t>
        </is>
      </c>
      <c r="W86" t="inlineStr">
        <is>
          <t>OK</t>
        </is>
      </c>
      <c r="X86" t="inlineStr">
        <is>
          <t>Brand=GEARWRENCH; Manufacturer=APEX TOOL GROUP</t>
        </is>
      </c>
      <c r="Y86" t="inlineStr">
        <is>
          <t>2026-04-29</t>
        </is>
      </c>
    </row>
    <row r="87">
      <c r="A87" s="24" t="inlineStr">
        <is>
          <t>Toolbox/Tool Board</t>
        </is>
      </c>
      <c r="B87" t="inlineStr">
        <is>
          <t>10mm Hex Impact Bit Socket</t>
        </is>
      </c>
      <c r="C87" s="55" t="inlineStr">
        <is>
          <t>Gearwrench</t>
        </is>
      </c>
      <c r="D87" s="4" t="inlineStr">
        <is>
          <t>Fastenal</t>
        </is>
      </c>
      <c r="E87" s="42" t="inlineStr">
        <is>
          <t>0251292</t>
        </is>
      </c>
      <c r="F87" s="25" t="inlineStr">
        <is>
          <t>2 per toolbox</t>
        </is>
      </c>
      <c r="G87" s="4" t="n">
        <v>58</v>
      </c>
      <c r="H87" s="4" t="n">
        <v>5</v>
      </c>
      <c r="I87" s="12">
        <f>G87+H87</f>
        <v/>
      </c>
      <c r="J87" s="14" t="n"/>
      <c r="K87" s="43">
        <f>J87*(G87+H87)</f>
        <v/>
      </c>
      <c r="L87" s="8" t="n"/>
      <c r="M87" s="6" t="n"/>
      <c r="N87" s="10" t="n"/>
      <c r="O87" s="18" t="n"/>
      <c r="P87" s="32" t="n"/>
      <c r="Q87" s="33" t="n"/>
      <c r="R87" s="34" t="n"/>
      <c r="S87" t="inlineStr">
        <is>
          <t>GEARWRENCH</t>
        </is>
      </c>
      <c r="T87" t="inlineStr">
        <is>
          <t>84394</t>
        </is>
      </c>
      <c r="V87" t="inlineStr">
        <is>
          <t>https://www.fastenal.com/product/details/0251292</t>
        </is>
      </c>
      <c r="W87" t="inlineStr">
        <is>
          <t>OK</t>
        </is>
      </c>
      <c r="X87" t="inlineStr">
        <is>
          <t>Brand=GEARWRENCH; Manufacturer=APEX TOOL GROUP</t>
        </is>
      </c>
      <c r="Y87" t="inlineStr">
        <is>
          <t>2026-04-29</t>
        </is>
      </c>
    </row>
    <row r="88">
      <c r="A88" s="24" t="inlineStr">
        <is>
          <t>Toolbox/Tool Board</t>
        </is>
      </c>
      <c r="B88" t="inlineStr">
        <is>
          <t>14mm Hex Impact Bit Socket</t>
        </is>
      </c>
      <c r="C88" s="55" t="inlineStr">
        <is>
          <t>Gearwrench</t>
        </is>
      </c>
      <c r="D88" s="4" t="inlineStr">
        <is>
          <t>Fastenal</t>
        </is>
      </c>
      <c r="E88" s="42" t="inlineStr">
        <is>
          <t>0251306</t>
        </is>
      </c>
      <c r="F88" s="25" t="inlineStr">
        <is>
          <t>2 per toolbox</t>
        </is>
      </c>
      <c r="G88" s="4" t="n">
        <v>58</v>
      </c>
      <c r="H88" s="4" t="n">
        <v>5</v>
      </c>
      <c r="I88" s="12">
        <f>G88+H88</f>
        <v/>
      </c>
      <c r="J88" s="14" t="n"/>
      <c r="K88" s="43">
        <f>J88*(G88+H88)</f>
        <v/>
      </c>
      <c r="L88" s="8" t="n"/>
      <c r="M88" s="6" t="n"/>
      <c r="N88" s="10" t="n"/>
      <c r="O88" s="18" t="n"/>
      <c r="P88" s="32" t="n"/>
      <c r="Q88" s="33" t="n"/>
      <c r="R88" s="34" t="n"/>
      <c r="S88" t="inlineStr">
        <is>
          <t>GEARWRENCH</t>
        </is>
      </c>
      <c r="T88" t="inlineStr">
        <is>
          <t>84631</t>
        </is>
      </c>
      <c r="V88" t="inlineStr">
        <is>
          <t>https://www.fastenal.com/product/details/0251306</t>
        </is>
      </c>
      <c r="W88" t="inlineStr">
        <is>
          <t>OK</t>
        </is>
      </c>
      <c r="X88" t="inlineStr">
        <is>
          <t>Brand=GEARWRENCH; Manufacturer=APEX TOOL GROUP</t>
        </is>
      </c>
      <c r="Y88" t="inlineStr">
        <is>
          <t>2026-04-29</t>
        </is>
      </c>
    </row>
    <row r="89">
      <c r="A89" s="24" t="inlineStr">
        <is>
          <t>Toolbox/Tool Board</t>
        </is>
      </c>
      <c r="B89" t="inlineStr">
        <is>
          <t>17mm Hex Impact Bit Socket</t>
        </is>
      </c>
      <c r="C89" s="55" t="inlineStr">
        <is>
          <t>Gearwrench</t>
        </is>
      </c>
      <c r="D89" s="4" t="inlineStr">
        <is>
          <t>Fastenal</t>
        </is>
      </c>
      <c r="E89" s="42" t="inlineStr">
        <is>
          <t>99516242</t>
        </is>
      </c>
      <c r="F89" s="25" t="inlineStr">
        <is>
          <t>2 per toolbox</t>
        </is>
      </c>
      <c r="G89" s="4" t="n">
        <v>58</v>
      </c>
      <c r="H89" s="4" t="n">
        <v>5</v>
      </c>
      <c r="I89" s="12">
        <f>G89+H89</f>
        <v/>
      </c>
      <c r="J89" s="14" t="n"/>
      <c r="K89" s="43">
        <f>J89*(G89+H89)</f>
        <v/>
      </c>
      <c r="L89" s="8" t="n"/>
      <c r="M89" s="6" t="n"/>
      <c r="N89" s="10" t="n"/>
      <c r="O89" s="18" t="n"/>
      <c r="P89" s="32" t="n"/>
      <c r="Q89" s="33" t="n"/>
      <c r="R89" s="34" t="n"/>
      <c r="S89" t="inlineStr">
        <is>
          <t>STANLEY PROTO TOOLS</t>
        </is>
      </c>
      <c r="T89" t="inlineStr">
        <is>
          <t>J7441-17M</t>
        </is>
      </c>
      <c r="V89" t="inlineStr">
        <is>
          <t>https://www.fastenal.com/product/details/99516242</t>
        </is>
      </c>
      <c r="W89" t="inlineStr">
        <is>
          <t>OK</t>
        </is>
      </c>
      <c r="X89" t="inlineStr">
        <is>
          <t>Fastenal anti-bot blocked automated lookup (interstitial title: 'Access Denied'). Manual lookup needed.</t>
        </is>
      </c>
      <c r="Y89" t="inlineStr">
        <is>
          <t>2026-04-29</t>
        </is>
      </c>
    </row>
    <row r="90">
      <c r="A90" s="24" t="inlineStr">
        <is>
          <t>Toolbox/Tool Board</t>
        </is>
      </c>
      <c r="B90" t="inlineStr">
        <is>
          <t>19mm Hex Impact Bit Socket</t>
        </is>
      </c>
      <c r="C90" s="55" t="inlineStr">
        <is>
          <t>Gearwrench</t>
        </is>
      </c>
      <c r="D90" s="4" t="inlineStr">
        <is>
          <t>Fastenal</t>
        </is>
      </c>
      <c r="E90" s="42" t="inlineStr">
        <is>
          <t>0255401</t>
        </is>
      </c>
      <c r="F90" s="25" t="inlineStr">
        <is>
          <t>2 per toolbox</t>
        </is>
      </c>
      <c r="G90" s="4" t="n">
        <v>58</v>
      </c>
      <c r="H90" s="4" t="n">
        <v>5</v>
      </c>
      <c r="I90" s="12">
        <f>G90+H90</f>
        <v/>
      </c>
      <c r="J90" s="14" t="n"/>
      <c r="K90" s="43">
        <f>J90*(G90+H90)</f>
        <v/>
      </c>
      <c r="L90" s="8" t="n"/>
      <c r="M90" s="6" t="n"/>
      <c r="N90" s="10" t="n"/>
      <c r="O90" s="18" t="n"/>
      <c r="P90" s="32" t="n"/>
      <c r="Q90" s="33" t="n"/>
      <c r="R90" s="34" t="n"/>
      <c r="S90" t="inlineStr">
        <is>
          <t>DEWALT</t>
        </is>
      </c>
      <c r="T90" t="inlineStr">
        <is>
          <t>DWMT73950OSP</t>
        </is>
      </c>
      <c r="V90" t="inlineStr">
        <is>
          <t>https://www.fastenal.com/product/details/0255401</t>
        </is>
      </c>
      <c r="W90" t="inlineStr">
        <is>
          <t>OK</t>
        </is>
      </c>
      <c r="X90" t="inlineStr">
        <is>
          <t>Fastenal anti-bot blocked automated lookup (interstitial title: 'Access Denied'). Manual lookup needed.</t>
        </is>
      </c>
      <c r="Y90" t="inlineStr">
        <is>
          <t>2026-04-29</t>
        </is>
      </c>
    </row>
    <row r="91">
      <c r="A91" s="24" t="inlineStr">
        <is>
          <t>Toolbox/Tool Board</t>
        </is>
      </c>
      <c r="B91" t="inlineStr">
        <is>
          <t xml:space="preserve">6mm Open End Wrench </t>
        </is>
      </c>
      <c r="C91" s="55" t="inlineStr">
        <is>
          <t>Gearwrench</t>
        </is>
      </c>
      <c r="D91" s="4" t="inlineStr">
        <is>
          <t>Fastenal</t>
        </is>
      </c>
      <c r="E91" s="42" t="inlineStr">
        <is>
          <t>923552648</t>
        </is>
      </c>
      <c r="F91" s="25" t="inlineStr">
        <is>
          <t>2 per toolbox</t>
        </is>
      </c>
      <c r="G91" s="4" t="n">
        <v>58</v>
      </c>
      <c r="H91" s="4" t="n">
        <v>3</v>
      </c>
      <c r="I91" s="12">
        <f>G91+H91</f>
        <v/>
      </c>
      <c r="J91" s="15" t="n"/>
      <c r="K91" s="43">
        <f>J91*(G91+H91)</f>
        <v/>
      </c>
      <c r="L91" s="8" t="n"/>
      <c r="M91" s="6" t="n"/>
      <c r="N91" s="10" t="n"/>
      <c r="O91" s="18" t="n"/>
      <c r="P91" s="32" t="n"/>
      <c r="Q91" s="33" t="n"/>
      <c r="R91" s="34" t="n"/>
      <c r="S91" t="inlineStr">
        <is>
          <t>WILLIAMS</t>
        </is>
      </c>
      <c r="T91" t="inlineStr">
        <is>
          <t>JHW1206MSC</t>
        </is>
      </c>
      <c r="V91" t="inlineStr">
        <is>
          <t>https://www.fastenal.com/product/details/923552648</t>
        </is>
      </c>
      <c r="W91" t="inlineStr">
        <is>
          <t>OK</t>
        </is>
      </c>
      <c r="X91" t="inlineStr">
        <is>
          <t>Fastenal anti-bot blocked automated lookup (interstitial title: 'Access Denied'). Manual lookup needed.</t>
        </is>
      </c>
      <c r="Y91" t="inlineStr">
        <is>
          <t>2026-04-29</t>
        </is>
      </c>
    </row>
    <row r="92">
      <c r="A92" s="24" t="inlineStr">
        <is>
          <t>Toolbox/Tool Board</t>
        </is>
      </c>
      <c r="B92" t="inlineStr">
        <is>
          <t>7mm Open End Wrench</t>
        </is>
      </c>
      <c r="C92" s="55" t="inlineStr">
        <is>
          <t>Gearwrench</t>
        </is>
      </c>
      <c r="D92" s="4" t="inlineStr">
        <is>
          <t>Fastenal</t>
        </is>
      </c>
      <c r="E92" s="42" t="inlineStr">
        <is>
          <t>923552499</t>
        </is>
      </c>
      <c r="F92" s="25" t="inlineStr">
        <is>
          <t>2 per toolbox</t>
        </is>
      </c>
      <c r="G92" s="4" t="n">
        <v>58</v>
      </c>
      <c r="H92" s="4" t="n">
        <v>3</v>
      </c>
      <c r="I92" s="12">
        <f>G92+H92</f>
        <v/>
      </c>
      <c r="J92" s="15" t="n"/>
      <c r="K92" s="43">
        <f>J92*(G92+H92)</f>
        <v/>
      </c>
      <c r="L92" s="8" t="n"/>
      <c r="M92" s="6" t="n"/>
      <c r="N92" s="10" t="n"/>
      <c r="O92" s="18" t="n"/>
      <c r="P92" s="32" t="n"/>
      <c r="Q92" s="33" t="n"/>
      <c r="R92" s="34" t="n"/>
      <c r="S92" t="inlineStr">
        <is>
          <t>WILLIAMS</t>
        </is>
      </c>
      <c r="T92" t="inlineStr">
        <is>
          <t>JHW1207MSC</t>
        </is>
      </c>
      <c r="V92" t="inlineStr">
        <is>
          <t>https://www.fastenal.com/product/details/923552499</t>
        </is>
      </c>
      <c r="W92" t="inlineStr">
        <is>
          <t>OK</t>
        </is>
      </c>
      <c r="X92" t="inlineStr">
        <is>
          <t>Fastenal anti-bot blocked automated lookup (interstitial title: 'Access Denied'). Manual lookup needed.</t>
        </is>
      </c>
      <c r="Y92" t="inlineStr">
        <is>
          <t>2026-04-29</t>
        </is>
      </c>
    </row>
    <row r="93">
      <c r="A93" s="24" t="inlineStr">
        <is>
          <t>Toolbox/Tool Board</t>
        </is>
      </c>
      <c r="B93" t="inlineStr">
        <is>
          <t>8mm Open End Wrench</t>
        </is>
      </c>
      <c r="C93" s="55" t="inlineStr">
        <is>
          <t>Gearwrench</t>
        </is>
      </c>
      <c r="D93" s="4" t="inlineStr">
        <is>
          <t>Fastenal</t>
        </is>
      </c>
      <c r="E93" s="42" t="inlineStr">
        <is>
          <t>923551927</t>
        </is>
      </c>
      <c r="F93" s="25" t="inlineStr">
        <is>
          <t>2 per toolbox</t>
        </is>
      </c>
      <c r="G93" s="4" t="n">
        <v>58</v>
      </c>
      <c r="H93" s="4" t="n">
        <v>3</v>
      </c>
      <c r="I93" s="12">
        <f>G93+H93</f>
        <v/>
      </c>
      <c r="J93" s="15" t="n"/>
      <c r="K93" s="43">
        <f>J93*(G93+H93)</f>
        <v/>
      </c>
      <c r="L93" s="8" t="n"/>
      <c r="M93" s="6" t="n"/>
      <c r="N93" s="10" t="n"/>
      <c r="O93" s="18" t="n"/>
      <c r="P93" s="32" t="n"/>
      <c r="Q93" s="33" t="n"/>
      <c r="R93" s="34" t="n"/>
      <c r="S93" t="inlineStr">
        <is>
          <t>WILLIAMS</t>
        </is>
      </c>
      <c r="T93" t="inlineStr">
        <is>
          <t>JHW1208MSC</t>
        </is>
      </c>
      <c r="V93" t="inlineStr">
        <is>
          <t>https://www.fastenal.com/product/details/923551927</t>
        </is>
      </c>
      <c r="W93" t="inlineStr">
        <is>
          <t>OK</t>
        </is>
      </c>
      <c r="X93" t="inlineStr">
        <is>
          <t>Fastenal anti-bot blocked automated lookup (interstitial title: 'Access Denied'). Manual lookup needed.</t>
        </is>
      </c>
      <c r="Y93" t="inlineStr">
        <is>
          <t>2026-04-29</t>
        </is>
      </c>
    </row>
    <row r="94">
      <c r="A94" s="24" t="inlineStr">
        <is>
          <t>Toolbox/Tool Board</t>
        </is>
      </c>
      <c r="B94" t="inlineStr">
        <is>
          <t>10mm Open End Wrench</t>
        </is>
      </c>
      <c r="C94" s="55" t="inlineStr">
        <is>
          <t>Gearwrench</t>
        </is>
      </c>
      <c r="D94" s="4" t="inlineStr">
        <is>
          <t>Fastenal</t>
        </is>
      </c>
      <c r="E94" s="42" t="inlineStr">
        <is>
          <t>923555397</t>
        </is>
      </c>
      <c r="F94" s="25" t="inlineStr">
        <is>
          <t>2 per toolbox</t>
        </is>
      </c>
      <c r="G94" s="4" t="n">
        <v>58</v>
      </c>
      <c r="H94" s="4" t="n">
        <v>3</v>
      </c>
      <c r="I94" s="12">
        <f>G94+H94</f>
        <v/>
      </c>
      <c r="J94" s="15" t="n"/>
      <c r="K94" s="43">
        <f>J94*(G94+H94)</f>
        <v/>
      </c>
      <c r="L94" s="8" t="n"/>
      <c r="M94" s="6" t="n"/>
      <c r="N94" s="10" t="n"/>
      <c r="O94" s="18" t="n"/>
      <c r="P94" s="32" t="n"/>
      <c r="Q94" s="33" t="n"/>
      <c r="R94" s="34" t="n"/>
      <c r="S94" t="inlineStr">
        <is>
          <t>WILLIAMS</t>
        </is>
      </c>
      <c r="T94" t="inlineStr">
        <is>
          <t>JHW1210MSC</t>
        </is>
      </c>
      <c r="V94" t="inlineStr">
        <is>
          <t>https://www.fastenal.com/product/details/923555397</t>
        </is>
      </c>
      <c r="W94" t="inlineStr">
        <is>
          <t>OK</t>
        </is>
      </c>
      <c r="X94" t="inlineStr">
        <is>
          <t>Fastenal anti-bot blocked automated lookup (interstitial title: 'Access Denied'). Manual lookup needed.</t>
        </is>
      </c>
      <c r="Y94" t="inlineStr">
        <is>
          <t>2026-04-29</t>
        </is>
      </c>
    </row>
    <row r="95">
      <c r="A95" s="24" t="inlineStr">
        <is>
          <t>Toolbox/Tool Board</t>
        </is>
      </c>
      <c r="B95" t="inlineStr">
        <is>
          <t>13mm Open End Wrench</t>
        </is>
      </c>
      <c r="C95" s="55" t="inlineStr">
        <is>
          <t>Gearwrench</t>
        </is>
      </c>
      <c r="D95" s="4" t="inlineStr">
        <is>
          <t>Fastenal</t>
        </is>
      </c>
      <c r="E95" s="42" t="inlineStr">
        <is>
          <t>923554327</t>
        </is>
      </c>
      <c r="F95" s="25" t="inlineStr">
        <is>
          <t>2 per toolbox</t>
        </is>
      </c>
      <c r="G95" s="4" t="n">
        <v>58</v>
      </c>
      <c r="H95" s="4" t="n">
        <v>3</v>
      </c>
      <c r="I95" s="12">
        <f>G95+H95</f>
        <v/>
      </c>
      <c r="J95" s="15" t="n"/>
      <c r="K95" s="43">
        <f>J95*(G95+H95)</f>
        <v/>
      </c>
      <c r="L95" s="8" t="n"/>
      <c r="M95" s="6" t="n"/>
      <c r="N95" s="10" t="n"/>
      <c r="O95" s="18" t="n"/>
      <c r="P95" s="32" t="n"/>
      <c r="Q95" s="33" t="n"/>
      <c r="R95" s="34" t="n"/>
      <c r="S95" t="inlineStr">
        <is>
          <t>WILLIAMS</t>
        </is>
      </c>
      <c r="T95" t="inlineStr">
        <is>
          <t>JHW1213MSC</t>
        </is>
      </c>
      <c r="V95" t="inlineStr">
        <is>
          <t>https://www.fastenal.com/product/details/923554327</t>
        </is>
      </c>
      <c r="W95" t="inlineStr">
        <is>
          <t>OK</t>
        </is>
      </c>
      <c r="X95" t="inlineStr">
        <is>
          <t>Fastenal anti-bot blocked automated lookup (interstitial title: 'Access Denied'). Manual lookup needed.</t>
        </is>
      </c>
      <c r="Y95" t="inlineStr">
        <is>
          <t>2026-04-29</t>
        </is>
      </c>
    </row>
    <row r="96">
      <c r="A96" s="24" t="inlineStr">
        <is>
          <t>Toolbox/Tool Board</t>
        </is>
      </c>
      <c r="B96" t="inlineStr">
        <is>
          <t>17mm Open End Wrench</t>
        </is>
      </c>
      <c r="C96" s="55" t="inlineStr">
        <is>
          <t>Gearwrench</t>
        </is>
      </c>
      <c r="D96" s="4" t="inlineStr">
        <is>
          <t>Fastenal</t>
        </is>
      </c>
      <c r="E96" s="42" t="inlineStr">
        <is>
          <t>923552384</t>
        </is>
      </c>
      <c r="F96" s="25" t="inlineStr">
        <is>
          <t>2 per toolbox</t>
        </is>
      </c>
      <c r="G96" s="4" t="n">
        <v>58</v>
      </c>
      <c r="H96" s="4" t="n">
        <v>3</v>
      </c>
      <c r="I96" s="12">
        <f>G96+H96</f>
        <v/>
      </c>
      <c r="J96" s="15" t="n"/>
      <c r="K96" s="43">
        <f>J96*(G96+H96)</f>
        <v/>
      </c>
      <c r="L96" s="8" t="n"/>
      <c r="M96" s="6" t="n"/>
      <c r="N96" s="10" t="n"/>
      <c r="O96" s="18" t="n"/>
      <c r="P96" s="32" t="n"/>
      <c r="Q96" s="33" t="n"/>
      <c r="R96" s="34" t="n"/>
      <c r="S96" t="inlineStr">
        <is>
          <t>WILLIAMS</t>
        </is>
      </c>
      <c r="T96" t="inlineStr">
        <is>
          <t>JHW1217MSC</t>
        </is>
      </c>
      <c r="V96" t="inlineStr">
        <is>
          <t>https://www.fastenal.com/product/details/923552384</t>
        </is>
      </c>
      <c r="W96" t="inlineStr">
        <is>
          <t>OK</t>
        </is>
      </c>
      <c r="X96" t="inlineStr">
        <is>
          <t>Fastenal anti-bot blocked automated lookup (interstitial title: 'Access Denied'). Manual lookup needed.</t>
        </is>
      </c>
      <c r="Y96" t="inlineStr">
        <is>
          <t>2026-04-29</t>
        </is>
      </c>
    </row>
    <row r="97">
      <c r="A97" s="24" t="inlineStr">
        <is>
          <t>Toolbox/Tool Board</t>
        </is>
      </c>
      <c r="B97" t="inlineStr">
        <is>
          <t>19mm Open End Wrench</t>
        </is>
      </c>
      <c r="C97" s="55" t="inlineStr">
        <is>
          <t>Gearwrench</t>
        </is>
      </c>
      <c r="D97" s="4" t="inlineStr">
        <is>
          <t>Fastenal</t>
        </is>
      </c>
      <c r="E97" s="42" t="inlineStr">
        <is>
          <t>923551790</t>
        </is>
      </c>
      <c r="F97" s="25" t="inlineStr">
        <is>
          <t>2 per toolbox</t>
        </is>
      </c>
      <c r="G97" s="4" t="n">
        <v>58</v>
      </c>
      <c r="H97" s="4" t="n">
        <v>3</v>
      </c>
      <c r="I97" s="12">
        <f>G97+H97</f>
        <v/>
      </c>
      <c r="J97" s="15" t="n"/>
      <c r="K97" s="43">
        <f>J97*(G97+H97)</f>
        <v/>
      </c>
      <c r="L97" s="8" t="n"/>
      <c r="M97" s="6" t="n"/>
      <c r="N97" s="10" t="n"/>
      <c r="O97" s="18" t="n"/>
      <c r="P97" s="32" t="n"/>
      <c r="Q97" s="33" t="n"/>
      <c r="R97" s="34" t="n"/>
      <c r="S97" t="inlineStr">
        <is>
          <t>WILLIAMS</t>
        </is>
      </c>
      <c r="T97" t="inlineStr">
        <is>
          <t>JHW1219MSC</t>
        </is>
      </c>
      <c r="V97" t="inlineStr">
        <is>
          <t>https://www.fastenal.com/product/details/923551790</t>
        </is>
      </c>
      <c r="W97" t="inlineStr">
        <is>
          <t>OK</t>
        </is>
      </c>
      <c r="X97" t="inlineStr">
        <is>
          <t>Fastenal anti-bot blocked automated lookup (interstitial title: 'Access Denied'). Manual lookup needed.</t>
        </is>
      </c>
      <c r="Y97" t="inlineStr">
        <is>
          <t>2026-04-29</t>
        </is>
      </c>
    </row>
    <row r="98">
      <c r="A98" s="24" t="inlineStr">
        <is>
          <t>Toolbox/Tool Board</t>
        </is>
      </c>
      <c r="B98" t="inlineStr">
        <is>
          <t>24mm Open End Wrench</t>
        </is>
      </c>
      <c r="C98" s="55" t="inlineStr">
        <is>
          <t>Gearwrench</t>
        </is>
      </c>
      <c r="D98" s="4" t="inlineStr">
        <is>
          <t>Fastenal</t>
        </is>
      </c>
      <c r="E98" s="42" t="inlineStr">
        <is>
          <t>923553987</t>
        </is>
      </c>
      <c r="F98" s="25" t="inlineStr">
        <is>
          <t>2 per toolbox</t>
        </is>
      </c>
      <c r="G98" s="4" t="n">
        <v>58</v>
      </c>
      <c r="H98" s="4" t="n">
        <v>2</v>
      </c>
      <c r="I98" s="12">
        <f>G98+H98</f>
        <v/>
      </c>
      <c r="J98" s="15" t="n"/>
      <c r="K98" s="43">
        <f>J98*(G98+H98)</f>
        <v/>
      </c>
      <c r="L98" s="8" t="n"/>
      <c r="M98" s="6" t="n"/>
      <c r="N98" s="10" t="n"/>
      <c r="O98" s="18" t="n"/>
      <c r="P98" s="32" t="n"/>
      <c r="Q98" s="33" t="n"/>
      <c r="R98" s="34" t="n"/>
      <c r="S98" t="inlineStr">
        <is>
          <t>WILLIAMS</t>
        </is>
      </c>
      <c r="T98" t="inlineStr">
        <is>
          <t>JHW1224MSC</t>
        </is>
      </c>
      <c r="V98" t="inlineStr">
        <is>
          <t>https://www.fastenal.com/product/details/923553987</t>
        </is>
      </c>
      <c r="W98" t="inlineStr">
        <is>
          <t>OK</t>
        </is>
      </c>
      <c r="X98" t="inlineStr">
        <is>
          <t>Fastenal anti-bot blocked automated lookup (interstitial title: 'Access Denied'). Manual lookup needed.</t>
        </is>
      </c>
      <c r="Y98" t="inlineStr">
        <is>
          <t>2026-04-29</t>
        </is>
      </c>
    </row>
    <row r="99">
      <c r="A99" s="24" t="inlineStr">
        <is>
          <t>Toolbox/Tool Board</t>
        </is>
      </c>
      <c r="B99" t="inlineStr">
        <is>
          <t>30mm Open End Wrench</t>
        </is>
      </c>
      <c r="C99" s="55" t="inlineStr">
        <is>
          <t>Gearwrench</t>
        </is>
      </c>
      <c r="D99" s="4" t="inlineStr">
        <is>
          <t>Fastenal</t>
        </is>
      </c>
      <c r="E99" s="42" t="inlineStr">
        <is>
          <t>923552466</t>
        </is>
      </c>
      <c r="F99" s="25" t="inlineStr">
        <is>
          <t>2 per toolbox</t>
        </is>
      </c>
      <c r="G99" s="4" t="n">
        <v>58</v>
      </c>
      <c r="H99" s="4" t="n">
        <v>1</v>
      </c>
      <c r="I99" s="12">
        <f>G99+H99</f>
        <v/>
      </c>
      <c r="J99" s="15" t="n"/>
      <c r="K99" s="43">
        <f>J99*(G99+H99)</f>
        <v/>
      </c>
      <c r="L99" s="8" t="n"/>
      <c r="M99" s="6" t="n"/>
      <c r="N99" s="10" t="n"/>
      <c r="O99" s="18" t="n"/>
      <c r="P99" s="32" t="n"/>
      <c r="Q99" s="33" t="n"/>
      <c r="R99" s="34" t="n"/>
      <c r="S99" t="inlineStr">
        <is>
          <t>WILLIAMS</t>
        </is>
      </c>
      <c r="T99" t="inlineStr">
        <is>
          <t>JHW1230MSC</t>
        </is>
      </c>
      <c r="V99" t="inlineStr">
        <is>
          <t>https://www.fastenal.com/product/details/923552466</t>
        </is>
      </c>
      <c r="W99" t="inlineStr">
        <is>
          <t>OK</t>
        </is>
      </c>
      <c r="X99" t="inlineStr">
        <is>
          <t>Fastenal anti-bot blocked automated lookup (interstitial title: 'Access Denied'). Manual lookup needed.</t>
        </is>
      </c>
      <c r="Y99" t="inlineStr">
        <is>
          <t>2026-04-29</t>
        </is>
      </c>
    </row>
    <row r="100">
      <c r="A100" s="24" t="inlineStr">
        <is>
          <t>Toolbox/Tool Board</t>
        </is>
      </c>
      <c r="B100" t="inlineStr">
        <is>
          <t>36mm Open End Wrench</t>
        </is>
      </c>
      <c r="C100" s="55" t="inlineStr">
        <is>
          <t>Gearwrench</t>
        </is>
      </c>
      <c r="D100" s="4" t="inlineStr">
        <is>
          <t>Fastenal</t>
        </is>
      </c>
      <c r="E100" s="42" t="inlineStr">
        <is>
          <t>923551278</t>
        </is>
      </c>
      <c r="F100" s="25" t="inlineStr">
        <is>
          <t>2 per toolbox</t>
        </is>
      </c>
      <c r="G100" s="4" t="n">
        <v>58</v>
      </c>
      <c r="H100" s="4" t="n">
        <v>1</v>
      </c>
      <c r="I100" s="12">
        <f>G100+H100</f>
        <v/>
      </c>
      <c r="J100" s="15" t="n"/>
      <c r="K100" s="43">
        <f>J100*(G100+H100)</f>
        <v/>
      </c>
      <c r="L100" s="8" t="n"/>
      <c r="M100" s="6" t="n"/>
      <c r="N100" s="10" t="n"/>
      <c r="O100" s="18" t="n"/>
      <c r="P100" s="32" t="n"/>
      <c r="Q100" s="33" t="n"/>
      <c r="R100" s="34" t="n"/>
      <c r="S100" t="inlineStr">
        <is>
          <t>WILLIAMS</t>
        </is>
      </c>
      <c r="T100" t="inlineStr">
        <is>
          <t>JHW1236MSC</t>
        </is>
      </c>
      <c r="V100" t="inlineStr">
        <is>
          <t>https://www.fastenal.com/product/details/923551278</t>
        </is>
      </c>
      <c r="W100" t="inlineStr">
        <is>
          <t>OK</t>
        </is>
      </c>
      <c r="X100" t="inlineStr">
        <is>
          <t>Fastenal anti-bot blocked automated lookup (interstitial title: 'Access Denied'). Manual lookup needed.</t>
        </is>
      </c>
      <c r="Y100" t="inlineStr">
        <is>
          <t>2026-04-29</t>
        </is>
      </c>
    </row>
    <row r="101">
      <c r="A101" s="24" t="inlineStr">
        <is>
          <t>Toolbox/Tool Board</t>
        </is>
      </c>
      <c r="B101" t="inlineStr">
        <is>
          <t>1/4" Drive Ratchet</t>
        </is>
      </c>
      <c r="C101" s="55" t="inlineStr">
        <is>
          <t>Gearwrench</t>
        </is>
      </c>
      <c r="D101" s="4" t="inlineStr">
        <is>
          <t>Fastenal</t>
        </is>
      </c>
      <c r="E101" s="42" t="inlineStr">
        <is>
          <t>2150437</t>
        </is>
      </c>
      <c r="F101" s="25" t="inlineStr">
        <is>
          <t>2 per toolbox</t>
        </is>
      </c>
      <c r="G101" s="4" t="n">
        <v>58</v>
      </c>
      <c r="H101" s="4" t="n">
        <v>2</v>
      </c>
      <c r="I101" s="12">
        <f>G101+H101</f>
        <v/>
      </c>
      <c r="J101" s="14" t="n"/>
      <c r="K101" s="43">
        <f>J101*(G101+H101)</f>
        <v/>
      </c>
      <c r="L101" s="8" t="n"/>
      <c r="M101" s="6" t="n"/>
      <c r="N101" s="10" t="n"/>
      <c r="O101" s="18" t="n"/>
      <c r="P101" s="32" t="n"/>
      <c r="Q101" s="33" t="n"/>
      <c r="R101" s="34" t="n"/>
      <c r="S101" t="inlineStr">
        <is>
          <t>STANLEY PROTO TOOLS</t>
        </is>
      </c>
      <c r="T101" t="inlineStr">
        <is>
          <t>J4749XLQR</t>
        </is>
      </c>
      <c r="V101" t="inlineStr">
        <is>
          <t>https://www.fastenal.com/product/details/2150437</t>
        </is>
      </c>
      <c r="W101" t="inlineStr">
        <is>
          <t>OK</t>
        </is>
      </c>
      <c r="X101" t="inlineStr">
        <is>
          <t>Fastenal anti-bot blocked automated lookup (interstitial title: 'Access Denied'). Manual lookup needed.</t>
        </is>
      </c>
      <c r="Y101" t="inlineStr">
        <is>
          <t>2026-04-29</t>
        </is>
      </c>
    </row>
    <row r="102">
      <c r="A102" s="24" t="inlineStr">
        <is>
          <t>Toolbox/Tool Board</t>
        </is>
      </c>
      <c r="B102" t="inlineStr">
        <is>
          <t xml:space="preserve">3/8" Drive Ratchet </t>
        </is>
      </c>
      <c r="C102" s="55" t="inlineStr">
        <is>
          <t>Gearwrench</t>
        </is>
      </c>
      <c r="D102" s="4" t="inlineStr">
        <is>
          <t>Fastenal</t>
        </is>
      </c>
      <c r="E102" s="42" t="inlineStr">
        <is>
          <t>99516163</t>
        </is>
      </c>
      <c r="F102" s="25" t="inlineStr">
        <is>
          <t>2 per toolbox</t>
        </is>
      </c>
      <c r="G102" s="4" t="n">
        <v>58</v>
      </c>
      <c r="H102" s="4" t="n">
        <v>2</v>
      </c>
      <c r="I102" s="12">
        <f>G102+H102</f>
        <v/>
      </c>
      <c r="J102" s="14" t="n"/>
      <c r="K102" s="43">
        <f>J102*(G102+H102)</f>
        <v/>
      </c>
      <c r="L102" s="8" t="n"/>
      <c r="M102" s="6" t="n"/>
      <c r="N102" s="10" t="n"/>
      <c r="O102" s="18" t="n"/>
      <c r="P102" s="32" t="n"/>
      <c r="Q102" s="33" t="n"/>
      <c r="R102" s="34" t="n"/>
      <c r="S102" t="inlineStr">
        <is>
          <t>STANLEY PROTO TOOLS</t>
        </is>
      </c>
      <c r="T102" t="inlineStr">
        <is>
          <t>J5249</t>
        </is>
      </c>
      <c r="V102" t="inlineStr">
        <is>
          <t>https://www.fastenal.com/product/details/99516163</t>
        </is>
      </c>
      <c r="W102" t="inlineStr">
        <is>
          <t>OK</t>
        </is>
      </c>
      <c r="X102" t="inlineStr">
        <is>
          <t>Fastenal anti-bot blocked automated lookup (interstitial title: 'Access Denied'). Manual lookup needed.</t>
        </is>
      </c>
      <c r="Y102" t="inlineStr">
        <is>
          <t>2026-04-29</t>
        </is>
      </c>
    </row>
    <row r="103">
      <c r="A103" s="24" t="inlineStr">
        <is>
          <t>Toolbox/Tool Board</t>
        </is>
      </c>
      <c r="B103" t="inlineStr">
        <is>
          <t>1/2" Drive Ratchet</t>
        </is>
      </c>
      <c r="C103" s="55" t="inlineStr">
        <is>
          <t>Gearwrench</t>
        </is>
      </c>
      <c r="D103" s="4" t="inlineStr">
        <is>
          <t>Fastenal</t>
        </is>
      </c>
      <c r="E103" s="42" t="inlineStr">
        <is>
          <t>2150523</t>
        </is>
      </c>
      <c r="F103" s="25" t="inlineStr">
        <is>
          <t>2 per toolbox</t>
        </is>
      </c>
      <c r="G103" s="4" t="n">
        <v>58</v>
      </c>
      <c r="H103" s="4" t="n">
        <v>2</v>
      </c>
      <c r="I103" s="12">
        <f>G103+H103</f>
        <v/>
      </c>
      <c r="J103" s="14" t="n"/>
      <c r="K103" s="43">
        <f>J103*(G103+H103)</f>
        <v/>
      </c>
      <c r="L103" s="8" t="n"/>
      <c r="M103" s="6" t="n"/>
      <c r="N103" s="10" t="n"/>
      <c r="O103" s="18" t="n"/>
      <c r="P103" s="32" t="n"/>
      <c r="Q103" s="33" t="n"/>
      <c r="R103" s="34" t="n"/>
      <c r="S103" t="inlineStr">
        <is>
          <t>STANLEY PROTO TOOLS</t>
        </is>
      </c>
      <c r="T103" t="inlineStr">
        <is>
          <t>J5449</t>
        </is>
      </c>
      <c r="V103" t="inlineStr">
        <is>
          <t>https://www.fastenal.com/product/details/2150523</t>
        </is>
      </c>
      <c r="W103" t="inlineStr">
        <is>
          <t>OK</t>
        </is>
      </c>
      <c r="X103" t="inlineStr">
        <is>
          <t>Fastenal anti-bot blocked automated lookup (interstitial title: 'Access Denied'). Manual lookup needed.</t>
        </is>
      </c>
      <c r="Y103" t="inlineStr">
        <is>
          <t>2026-04-29</t>
        </is>
      </c>
    </row>
    <row r="104">
      <c r="A104" s="24" t="inlineStr">
        <is>
          <t>Toolbox/Tool Board</t>
        </is>
      </c>
      <c r="B104" t="inlineStr">
        <is>
          <t>18" Crescent Wrench</t>
        </is>
      </c>
      <c r="C104" s="55" t="n"/>
      <c r="D104" s="4" t="inlineStr">
        <is>
          <t>Fastenal</t>
        </is>
      </c>
      <c r="E104" s="42" t="inlineStr">
        <is>
          <t>0228762</t>
        </is>
      </c>
      <c r="F104" s="25" t="inlineStr">
        <is>
          <t>362 kv shared toolboard</t>
        </is>
      </c>
      <c r="G104" s="4" t="n">
        <v>3</v>
      </c>
      <c r="H104" s="4" t="n">
        <v>0</v>
      </c>
      <c r="I104" s="12">
        <f>G104+H104</f>
        <v/>
      </c>
      <c r="J104" s="14" t="n"/>
      <c r="K104" s="43">
        <f>J104*(G104+H104)</f>
        <v/>
      </c>
      <c r="L104" s="8" t="n"/>
      <c r="M104" s="6" t="n"/>
      <c r="N104" s="10" t="n"/>
      <c r="O104" s="18" t="n"/>
      <c r="P104" s="32" t="n"/>
      <c r="Q104" s="33" t="n"/>
      <c r="R104" s="34" t="n"/>
      <c r="S104" t="inlineStr">
        <is>
          <t>CRESCENT</t>
        </is>
      </c>
      <c r="T104" t="inlineStr">
        <is>
          <t>AC218VS</t>
        </is>
      </c>
      <c r="V104" t="inlineStr">
        <is>
          <t>https://www.fastenal.com/product/details/0228762</t>
        </is>
      </c>
      <c r="W104" t="inlineStr">
        <is>
          <t>OK</t>
        </is>
      </c>
      <c r="X104" t="inlineStr">
        <is>
          <t>Brand=CRESCENT; Manufacturer=APEX TOOL GROUP</t>
        </is>
      </c>
      <c r="Y104" t="inlineStr">
        <is>
          <t>2026-04-29</t>
        </is>
      </c>
    </row>
    <row r="105">
      <c r="A105" s="24" t="inlineStr">
        <is>
          <t>Toolbox/Tool Board</t>
        </is>
      </c>
      <c r="B105" t="inlineStr">
        <is>
          <t>Snap ring pliers</t>
        </is>
      </c>
      <c r="C105" s="55" t="n"/>
      <c r="D105" s="4" t="inlineStr">
        <is>
          <t>Fastenal</t>
        </is>
      </c>
      <c r="E105" s="42" t="inlineStr">
        <is>
          <t>0258776</t>
        </is>
      </c>
      <c r="F105" s="25" t="inlineStr">
        <is>
          <t>1 per toolbox</t>
        </is>
      </c>
      <c r="G105" s="4" t="n">
        <v>29</v>
      </c>
      <c r="H105" s="4" t="n">
        <v>1</v>
      </c>
      <c r="I105" s="12">
        <f>G105+H105</f>
        <v/>
      </c>
      <c r="J105" s="14" t="n"/>
      <c r="K105" s="43">
        <f>J105*(G105+H105)</f>
        <v/>
      </c>
      <c r="L105" s="8" t="n"/>
      <c r="M105" s="6" t="n"/>
      <c r="N105" s="10" t="n"/>
      <c r="O105" s="18" t="n"/>
      <c r="P105" s="32" t="n"/>
      <c r="Q105" s="33" t="n"/>
      <c r="R105" s="34" t="n"/>
      <c r="S105" t="inlineStr">
        <is>
          <t>GEARWRENCH</t>
        </is>
      </c>
      <c r="T105" t="inlineStr">
        <is>
          <t>82150</t>
        </is>
      </c>
      <c r="V105" t="inlineStr">
        <is>
          <t>https://www.fastenal.com/product/details/0258776</t>
        </is>
      </c>
      <c r="W105" t="inlineStr">
        <is>
          <t>OK</t>
        </is>
      </c>
      <c r="X105" t="inlineStr">
        <is>
          <t>Brand=GEARWRENCH; Manufacturer=APEX TOOL GROUP</t>
        </is>
      </c>
      <c r="Y105" t="inlineStr">
        <is>
          <t>2026-04-29</t>
        </is>
      </c>
    </row>
    <row r="106">
      <c r="A106" s="24" t="inlineStr">
        <is>
          <t>Toolbox/Tool Board</t>
        </is>
      </c>
      <c r="B106" t="inlineStr">
        <is>
          <t>Mallet</t>
        </is>
      </c>
      <c r="C106" s="55" t="n"/>
      <c r="D106" s="4" t="inlineStr">
        <is>
          <t>Fastenal</t>
        </is>
      </c>
      <c r="E106" s="42" t="inlineStr">
        <is>
          <t>0258794</t>
        </is>
      </c>
      <c r="F106" s="25" t="inlineStr">
        <is>
          <t>1 per toolbox</t>
        </is>
      </c>
      <c r="G106" s="4" t="n">
        <v>29</v>
      </c>
      <c r="H106" s="4" t="n">
        <v>1</v>
      </c>
      <c r="I106" s="12">
        <f>G106+H106</f>
        <v/>
      </c>
      <c r="J106" s="14" t="n"/>
      <c r="K106" s="43">
        <f>J106*(G106+H106)</f>
        <v/>
      </c>
      <c r="L106" s="8" t="n"/>
      <c r="M106" s="6" t="n"/>
      <c r="N106" s="10" t="n"/>
      <c r="O106" s="18" t="n"/>
      <c r="P106" s="32" t="n"/>
      <c r="Q106" s="33" t="n"/>
      <c r="R106" s="34" t="n"/>
      <c r="S106" t="inlineStr">
        <is>
          <t>GEARWRENCH</t>
        </is>
      </c>
      <c r="T106" t="inlineStr">
        <is>
          <t>82241</t>
        </is>
      </c>
      <c r="V106" t="inlineStr">
        <is>
          <t>https://www.fastenal.com/product/details/0258794</t>
        </is>
      </c>
      <c r="W106" t="inlineStr">
        <is>
          <t>OK</t>
        </is>
      </c>
      <c r="X106" t="inlineStr">
        <is>
          <t>Brand=GEARWRENCH; Manufacturer=APEX TOOL GROUP</t>
        </is>
      </c>
      <c r="Y106" t="inlineStr">
        <is>
          <t>2026-04-29</t>
        </is>
      </c>
    </row>
    <row r="107">
      <c r="A107" s="24" t="inlineStr">
        <is>
          <t>Toolbox/Tool Board</t>
        </is>
      </c>
      <c r="B107" t="inlineStr">
        <is>
          <t>Channel Locks</t>
        </is>
      </c>
      <c r="C107" s="55" t="inlineStr">
        <is>
          <t>Channel Lock</t>
        </is>
      </c>
      <c r="D107" s="4" t="inlineStr">
        <is>
          <t>Fastenal</t>
        </is>
      </c>
      <c r="E107" s="42" t="n">
        <v>2558230147</v>
      </c>
      <c r="F107" s="25" t="inlineStr">
        <is>
          <t>1 per toolbox</t>
        </is>
      </c>
      <c r="G107" s="4" t="n">
        <v>29</v>
      </c>
      <c r="H107" s="4" t="n">
        <v>1</v>
      </c>
      <c r="I107" s="12">
        <f>G107+H107</f>
        <v/>
      </c>
      <c r="J107" s="15" t="n"/>
      <c r="K107" s="43">
        <f>J107*(G107+H107)</f>
        <v/>
      </c>
      <c r="L107" s="8" t="n"/>
      <c r="M107" s="6" t="n"/>
      <c r="N107" s="10" t="n"/>
      <c r="O107" s="18" t="n"/>
      <c r="P107" s="32" t="n"/>
      <c r="Q107" s="33" t="n"/>
      <c r="R107" s="34" t="n"/>
      <c r="S107" t="inlineStr">
        <is>
          <t>Channellock</t>
        </is>
      </c>
      <c r="T107" t="inlineStr">
        <is>
          <t>2558230147</t>
        </is>
      </c>
      <c r="U107" t="inlineStr">
        <is>
          <t>Channellock pliers (Fastenal SKU 2558230147)</t>
        </is>
      </c>
      <c r="V107" t="inlineStr">
        <is>
          <t>https://www.channellock.com/</t>
        </is>
      </c>
      <c r="W107" t="inlineStr">
        <is>
          <t>MANUAL_REVIEW</t>
        </is>
      </c>
      <c r="X107" t="inlineStr">
        <is>
          <t>Required Brand column = 'Channel Lock' → MFG: Channellock Inc. Fastenal scraper returned NOT_FOUND; using Fastenal SKU as MFG-PN proxy. Anthony's team to confirm exact Channellock model.</t>
        </is>
      </c>
      <c r="Y107" t="inlineStr">
        <is>
          <t>2026-04-29</t>
        </is>
      </c>
    </row>
    <row r="108">
      <c r="A108" s="24" t="inlineStr">
        <is>
          <t>Toolbox/Tool Board</t>
        </is>
      </c>
      <c r="B108" t="inlineStr">
        <is>
          <t>Wire cutters</t>
        </is>
      </c>
      <c r="C108" s="55" t="n"/>
      <c r="D108" s="4" t="inlineStr">
        <is>
          <t>Fastenal</t>
        </is>
      </c>
      <c r="E108" s="42" t="inlineStr">
        <is>
          <t>0255555</t>
        </is>
      </c>
      <c r="F108" s="25" t="inlineStr">
        <is>
          <t>2 per toolbox</t>
        </is>
      </c>
      <c r="G108" s="4" t="n">
        <v>58</v>
      </c>
      <c r="H108" s="4" t="n">
        <v>2</v>
      </c>
      <c r="I108" s="12">
        <f>G108+H108</f>
        <v/>
      </c>
      <c r="J108" s="14" t="n"/>
      <c r="K108" s="43">
        <f>J108*(G108+H108)</f>
        <v/>
      </c>
      <c r="L108" s="8" t="n"/>
      <c r="M108" s="6" t="n"/>
      <c r="N108" s="10" t="n"/>
      <c r="O108" s="18" t="n"/>
      <c r="P108" s="32" t="n"/>
      <c r="Q108" s="33" t="n"/>
      <c r="R108" s="34" t="n"/>
      <c r="S108" t="inlineStr">
        <is>
          <t>KNIPEX TOOLS</t>
        </is>
      </c>
      <c r="T108" t="inlineStr">
        <is>
          <t>72 01 140</t>
        </is>
      </c>
      <c r="V108" t="inlineStr">
        <is>
          <t>https://www.fastenal.com/product/details/0255555</t>
        </is>
      </c>
      <c r="W108" t="inlineStr">
        <is>
          <t>OK</t>
        </is>
      </c>
      <c r="X108" t="inlineStr">
        <is>
          <t>Fastenal anti-bot blocked automated lookup (interstitial title: 'Access Denied'). Manual lookup needed.</t>
        </is>
      </c>
      <c r="Y108" t="inlineStr">
        <is>
          <t>2026-04-29</t>
        </is>
      </c>
    </row>
    <row r="109">
      <c r="A109" s="24" t="inlineStr">
        <is>
          <t>Toolbox/Tool Board</t>
        </is>
      </c>
      <c r="B109" t="inlineStr">
        <is>
          <t>Klein Screwdriver Kit</t>
        </is>
      </c>
      <c r="C109" s="55" t="inlineStr">
        <is>
          <t>Klein</t>
        </is>
      </c>
      <c r="D109" s="4" t="inlineStr">
        <is>
          <t>Fastenal</t>
        </is>
      </c>
      <c r="E109" s="42" t="inlineStr">
        <is>
          <t>0297986</t>
        </is>
      </c>
      <c r="F109" s="25" t="inlineStr">
        <is>
          <t>1 per toolbox</t>
        </is>
      </c>
      <c r="G109" s="4" t="n">
        <v>29</v>
      </c>
      <c r="H109" s="4" t="n">
        <v>3</v>
      </c>
      <c r="I109" s="12">
        <f>G109+H109</f>
        <v/>
      </c>
      <c r="J109" s="14" t="n"/>
      <c r="K109" s="43">
        <f>J109*(G109+H109)</f>
        <v/>
      </c>
      <c r="L109" s="8" t="n"/>
      <c r="M109" s="6" t="n"/>
      <c r="N109" s="10" t="n"/>
      <c r="O109" s="18" t="n"/>
      <c r="P109" s="32" t="n"/>
      <c r="Q109" s="33" t="n"/>
      <c r="R109" s="34" t="n"/>
      <c r="S109" t="inlineStr">
        <is>
          <t>KLEIN TOOLS</t>
        </is>
      </c>
      <c r="T109" t="inlineStr">
        <is>
          <t>85078</t>
        </is>
      </c>
      <c r="V109" t="inlineStr">
        <is>
          <t>https://www.fastenal.com/product/details/0297986</t>
        </is>
      </c>
      <c r="W109" t="inlineStr">
        <is>
          <t>OK</t>
        </is>
      </c>
      <c r="X109" t="inlineStr">
        <is>
          <t>Fastenal anti-bot blocked automated lookup (interstitial title: 'Access Denied'). Manual lookup needed.</t>
        </is>
      </c>
      <c r="Y109" t="inlineStr">
        <is>
          <t>2026-04-29</t>
        </is>
      </c>
    </row>
    <row r="110">
      <c r="A110" s="24" t="inlineStr">
        <is>
          <t>Toolbox/Tool Board</t>
        </is>
      </c>
      <c r="B110" t="inlineStr">
        <is>
          <t>Ball-peen hammer</t>
        </is>
      </c>
      <c r="C110" s="55" t="n"/>
      <c r="D110" s="4" t="inlineStr">
        <is>
          <t>Fastenal</t>
        </is>
      </c>
      <c r="E110" s="42" t="inlineStr">
        <is>
          <t>0225249</t>
        </is>
      </c>
      <c r="F110" s="25" t="inlineStr">
        <is>
          <t>1 per toolbox</t>
        </is>
      </c>
      <c r="G110" s="4" t="n">
        <v>29</v>
      </c>
      <c r="H110" s="4" t="n">
        <v>1</v>
      </c>
      <c r="I110" s="12">
        <f>G110+H110</f>
        <v/>
      </c>
      <c r="J110" s="14" t="n"/>
      <c r="K110" s="43">
        <f>J110*(G110+H110)</f>
        <v/>
      </c>
      <c r="L110" s="8" t="n"/>
      <c r="M110" s="6" t="n"/>
      <c r="N110" s="10" t="n"/>
      <c r="O110" s="18" t="n"/>
      <c r="P110" s="32" t="n"/>
      <c r="Q110" s="33" t="n"/>
      <c r="R110" s="34" t="n"/>
      <c r="S110" t="inlineStr">
        <is>
          <t>ORMADUS</t>
        </is>
      </c>
      <c r="T110" t="inlineStr">
        <is>
          <t>0225249</t>
        </is>
      </c>
      <c r="V110" t="inlineStr">
        <is>
          <t>https://www.fastenal.com/product/details/0225249</t>
        </is>
      </c>
      <c r="W110" t="inlineStr">
        <is>
          <t>OK</t>
        </is>
      </c>
      <c r="X110" t="inlineStr">
        <is>
          <t>Brand=ORMADUS; Manufacturer=FASTENAL APPROVED VENDOR</t>
        </is>
      </c>
      <c r="Y110" t="inlineStr">
        <is>
          <t>2026-04-29</t>
        </is>
      </c>
    </row>
    <row r="111">
      <c r="A111" s="24" t="inlineStr">
        <is>
          <t>Toolbox/Tool Board</t>
        </is>
      </c>
      <c r="B111" t="inlineStr">
        <is>
          <t>Tape measure</t>
        </is>
      </c>
      <c r="C111" s="55" t="n"/>
      <c r="D111" s="4" t="inlineStr">
        <is>
          <t>Fastenal</t>
        </is>
      </c>
      <c r="E111" s="42" t="inlineStr">
        <is>
          <t>0209718</t>
        </is>
      </c>
      <c r="F111" s="25" t="inlineStr">
        <is>
          <t>1 per toolbox</t>
        </is>
      </c>
      <c r="G111" s="4" t="n">
        <v>29</v>
      </c>
      <c r="H111" s="4" t="n">
        <v>3</v>
      </c>
      <c r="I111" s="12">
        <f>G111+H111</f>
        <v/>
      </c>
      <c r="J111" s="14" t="n"/>
      <c r="K111" s="43">
        <f>J111*(G111+H111)</f>
        <v/>
      </c>
      <c r="L111" s="8" t="n"/>
      <c r="M111" s="6" t="n"/>
      <c r="N111" s="10" t="n"/>
      <c r="O111" s="18" t="n"/>
      <c r="P111" s="32" t="n"/>
      <c r="Q111" s="33" t="n"/>
      <c r="R111" s="34" t="n"/>
      <c r="S111" t="inlineStr">
        <is>
          <t>LUFKIN</t>
        </is>
      </c>
      <c r="T111" t="inlineStr">
        <is>
          <t>W9210ME</t>
        </is>
      </c>
      <c r="V111" t="inlineStr">
        <is>
          <t>https://www.fastenal.com/product/details/0209718</t>
        </is>
      </c>
      <c r="W111" t="inlineStr">
        <is>
          <t>OK</t>
        </is>
      </c>
      <c r="X111" t="inlineStr">
        <is>
          <t>Brand=LUFKIN; Manufacturer=APEX TOOL GROUP</t>
        </is>
      </c>
      <c r="Y111" t="inlineStr">
        <is>
          <t>2026-04-29</t>
        </is>
      </c>
    </row>
    <row r="112">
      <c r="A112" s="24" t="inlineStr">
        <is>
          <t>Toolbox/Tool Board</t>
        </is>
      </c>
      <c r="B112" t="inlineStr">
        <is>
          <t>3" Impact socket extension 1/2" drive</t>
        </is>
      </c>
      <c r="C112" s="55" t="inlineStr">
        <is>
          <t>Gearwrench</t>
        </is>
      </c>
      <c r="D112" s="4" t="inlineStr">
        <is>
          <t>Fastenal</t>
        </is>
      </c>
      <c r="E112" s="42" t="inlineStr">
        <is>
          <t>0223609</t>
        </is>
      </c>
      <c r="F112" s="25" t="inlineStr">
        <is>
          <t>1 per toolbox</t>
        </is>
      </c>
      <c r="G112" s="4" t="n">
        <v>29</v>
      </c>
      <c r="H112" s="4" t="n">
        <v>2</v>
      </c>
      <c r="I112" s="12">
        <f>G112+H112</f>
        <v/>
      </c>
      <c r="J112" s="14" t="n"/>
      <c r="K112" s="43">
        <f>J112*(G112+H112)</f>
        <v/>
      </c>
      <c r="L112" s="8" t="n"/>
      <c r="M112" s="6" t="n"/>
      <c r="N112" s="10" t="n"/>
      <c r="O112" s="18" t="n"/>
      <c r="P112" s="32" t="n"/>
      <c r="Q112" s="33" t="n"/>
      <c r="R112" s="34" t="n"/>
      <c r="S112" t="inlineStr">
        <is>
          <t>GEARWRENCH</t>
        </is>
      </c>
      <c r="T112" t="inlineStr">
        <is>
          <t>84645</t>
        </is>
      </c>
      <c r="V112" t="inlineStr">
        <is>
          <t>https://www.fastenal.com/product/details/0223609</t>
        </is>
      </c>
      <c r="W112" t="inlineStr">
        <is>
          <t>OK</t>
        </is>
      </c>
      <c r="X112" t="inlineStr">
        <is>
          <t>Brand=GEARWRENCH; Manufacturer=APEX TOOL GROUP</t>
        </is>
      </c>
      <c r="Y112" t="inlineStr">
        <is>
          <t>2026-04-29</t>
        </is>
      </c>
    </row>
    <row r="113">
      <c r="A113" s="24" t="inlineStr">
        <is>
          <t>Toolbox/Tool Board</t>
        </is>
      </c>
      <c r="B113" t="inlineStr">
        <is>
          <t>5" impact socket extension 1/2" drive</t>
        </is>
      </c>
      <c r="C113" s="55" t="inlineStr">
        <is>
          <t>Gearwrench</t>
        </is>
      </c>
      <c r="D113" s="4" t="inlineStr">
        <is>
          <t>Fastenal</t>
        </is>
      </c>
      <c r="E113" s="42" t="inlineStr">
        <is>
          <t>0223610</t>
        </is>
      </c>
      <c r="F113" s="25" t="inlineStr">
        <is>
          <t>1 per toolbox</t>
        </is>
      </c>
      <c r="G113" s="4" t="n">
        <v>29</v>
      </c>
      <c r="H113" s="4" t="n">
        <v>2</v>
      </c>
      <c r="I113" s="12">
        <f>G113+H113</f>
        <v/>
      </c>
      <c r="J113" s="14" t="n"/>
      <c r="K113" s="43">
        <f>J113*(G113+H113)</f>
        <v/>
      </c>
      <c r="L113" s="8" t="n"/>
      <c r="M113" s="6" t="n"/>
      <c r="N113" s="10" t="n"/>
      <c r="O113" s="18" t="n"/>
      <c r="P113" s="32" t="n"/>
      <c r="Q113" s="33" t="n"/>
      <c r="R113" s="34" t="n"/>
      <c r="S113" t="inlineStr">
        <is>
          <t>GEARWRENCH</t>
        </is>
      </c>
      <c r="T113" t="inlineStr">
        <is>
          <t>84646</t>
        </is>
      </c>
      <c r="V113" t="inlineStr">
        <is>
          <t>https://www.fastenal.com/product/details/0223610</t>
        </is>
      </c>
      <c r="W113" t="inlineStr">
        <is>
          <t>OK</t>
        </is>
      </c>
      <c r="X113" t="inlineStr">
        <is>
          <t>Brand=GEARWRENCH; Manufacturer=APEX TOOL GROUP</t>
        </is>
      </c>
      <c r="Y113" t="inlineStr">
        <is>
          <t>2026-04-29</t>
        </is>
      </c>
    </row>
    <row r="114">
      <c r="A114" s="24" t="inlineStr">
        <is>
          <t>Toolbox/Tool Board</t>
        </is>
      </c>
      <c r="B114" t="inlineStr">
        <is>
          <t>15" socket extension 1/2" drive</t>
        </is>
      </c>
      <c r="C114" s="55" t="inlineStr">
        <is>
          <t>Gearwrench</t>
        </is>
      </c>
      <c r="D114" s="4" t="inlineStr">
        <is>
          <t>Fastenal</t>
        </is>
      </c>
      <c r="E114" s="42" t="inlineStr">
        <is>
          <t>0257932</t>
        </is>
      </c>
      <c r="F114" s="25" t="inlineStr">
        <is>
          <t>1 per toolbox</t>
        </is>
      </c>
      <c r="G114" s="4" t="n">
        <v>29</v>
      </c>
      <c r="H114" s="4" t="n">
        <v>2</v>
      </c>
      <c r="I114" s="12">
        <f>G114+H114</f>
        <v/>
      </c>
      <c r="J114" s="14" t="n"/>
      <c r="K114" s="43">
        <f>J114*(G114+H114)</f>
        <v/>
      </c>
      <c r="L114" s="8" t="n"/>
      <c r="M114" s="6" t="n"/>
      <c r="N114" s="10" t="n"/>
      <c r="O114" s="18" t="n"/>
      <c r="P114" s="32" t="n"/>
      <c r="Q114" s="33" t="n"/>
      <c r="R114" s="34" t="n"/>
      <c r="S114" t="inlineStr">
        <is>
          <t>GEARWRENCH</t>
        </is>
      </c>
      <c r="T114" t="inlineStr">
        <is>
          <t>81343</t>
        </is>
      </c>
      <c r="V114" t="inlineStr">
        <is>
          <t>https://www.fastenal.com/product/details/0257932</t>
        </is>
      </c>
      <c r="W114" t="inlineStr">
        <is>
          <t>OK</t>
        </is>
      </c>
      <c r="X114" t="inlineStr">
        <is>
          <t>Brand=GEARWRENCH; Manufacturer=APEX TOOL GROUP</t>
        </is>
      </c>
      <c r="Y114" t="inlineStr">
        <is>
          <t>2026-04-29</t>
        </is>
      </c>
    </row>
    <row r="115">
      <c r="A115" s="24" t="inlineStr">
        <is>
          <t>Toolbox/Tool Board</t>
        </is>
      </c>
      <c r="B115" t="inlineStr">
        <is>
          <t>4" crescent wrench</t>
        </is>
      </c>
      <c r="C115" s="55" t="inlineStr">
        <is>
          <t>Crescent</t>
        </is>
      </c>
      <c r="D115" s="4" t="inlineStr">
        <is>
          <t>Fastenal</t>
        </is>
      </c>
      <c r="E115" s="42" t="inlineStr">
        <is>
          <t>0228765</t>
        </is>
      </c>
      <c r="F115" s="25" t="inlineStr">
        <is>
          <t>1 per toolbox</t>
        </is>
      </c>
      <c r="G115" s="4" t="n">
        <v>29</v>
      </c>
      <c r="H115" s="4" t="n">
        <v>2</v>
      </c>
      <c r="I115" s="12">
        <f>G115+H115</f>
        <v/>
      </c>
      <c r="J115" s="14" t="n"/>
      <c r="K115" s="43">
        <f>J115*(G115+H115)</f>
        <v/>
      </c>
      <c r="L115" s="8" t="n"/>
      <c r="M115" s="6" t="n"/>
      <c r="N115" s="10" t="n"/>
      <c r="O115" s="18" t="n"/>
      <c r="P115" s="32" t="n"/>
      <c r="Q115" s="33" t="n"/>
      <c r="R115" s="34" t="n"/>
      <c r="S115" t="inlineStr">
        <is>
          <t>CRESCENT</t>
        </is>
      </c>
      <c r="T115" t="inlineStr">
        <is>
          <t>AT26VS</t>
        </is>
      </c>
      <c r="V115" t="inlineStr">
        <is>
          <t>https://www.fastenal.com/product/details/0228765</t>
        </is>
      </c>
      <c r="W115" t="inlineStr">
        <is>
          <t>OK</t>
        </is>
      </c>
      <c r="X115" t="inlineStr">
        <is>
          <t>Brand=CRESCENT; Manufacturer=APEX TOOL GROUP</t>
        </is>
      </c>
      <c r="Y115" t="inlineStr">
        <is>
          <t>2026-04-29</t>
        </is>
      </c>
    </row>
    <row r="116">
      <c r="A116" s="24" t="inlineStr">
        <is>
          <t>Toolbox/Tool Board</t>
        </is>
      </c>
      <c r="B116" t="inlineStr">
        <is>
          <t>6" crescent wrench</t>
        </is>
      </c>
      <c r="C116" s="55" t="inlineStr">
        <is>
          <t>Crescent</t>
        </is>
      </c>
      <c r="D116" s="4" t="inlineStr">
        <is>
          <t>Fastenal</t>
        </is>
      </c>
      <c r="E116" s="42" t="inlineStr">
        <is>
          <t>0243851</t>
        </is>
      </c>
      <c r="F116" s="25" t="inlineStr">
        <is>
          <t>1 per toolbox</t>
        </is>
      </c>
      <c r="G116" s="4" t="n">
        <v>29</v>
      </c>
      <c r="H116" s="4" t="n">
        <v>2</v>
      </c>
      <c r="I116" s="12">
        <f>G116+H116</f>
        <v/>
      </c>
      <c r="J116" s="14" t="n"/>
      <c r="K116" s="43">
        <f>J116*(G116+H116)</f>
        <v/>
      </c>
      <c r="L116" s="8" t="n"/>
      <c r="M116" s="6" t="n"/>
      <c r="N116" s="10" t="n"/>
      <c r="O116" s="18" t="n"/>
      <c r="P116" s="32" t="n"/>
      <c r="Q116" s="33" t="n"/>
      <c r="R116" s="34" t="n"/>
      <c r="S116" t="inlineStr">
        <is>
          <t>CRESCENT</t>
        </is>
      </c>
      <c r="T116" t="inlineStr">
        <is>
          <t>AT24BK</t>
        </is>
      </c>
      <c r="V116" t="inlineStr">
        <is>
          <t>https://www.fastenal.com/product/details/0243851</t>
        </is>
      </c>
      <c r="W116" t="inlineStr">
        <is>
          <t>OK</t>
        </is>
      </c>
      <c r="X116" t="inlineStr">
        <is>
          <t>Brand=CRESCENT; Manufacturer=APEX TOOL GROUP</t>
        </is>
      </c>
      <c r="Y116" t="inlineStr">
        <is>
          <t>2026-04-29</t>
        </is>
      </c>
    </row>
    <row r="117">
      <c r="A117" s="24" t="inlineStr">
        <is>
          <t>Toolbox/Tool Board</t>
        </is>
      </c>
      <c r="B117" t="inlineStr">
        <is>
          <t>Gesipa Accubird Pro Kit (2 batteries + 1 charger)</t>
        </is>
      </c>
      <c r="C117" s="55" t="inlineStr">
        <is>
          <t>Gesipa</t>
        </is>
      </c>
      <c r="D117" s="4" t="inlineStr">
        <is>
          <t>Fastenal</t>
        </is>
      </c>
      <c r="E117" s="42" t="inlineStr">
        <is>
          <t>1679662</t>
        </is>
      </c>
      <c r="F117" s="25" t="inlineStr">
        <is>
          <t>Additional for 72 kV Line to support BIP assembly</t>
        </is>
      </c>
      <c r="G117" s="4" t="n">
        <v>1</v>
      </c>
      <c r="H117" s="4" t="n">
        <v>0</v>
      </c>
      <c r="I117" s="12">
        <f>G117+H117</f>
        <v/>
      </c>
      <c r="J117" s="14" t="n"/>
      <c r="K117" s="43">
        <f>J117*(G117+H117)</f>
        <v/>
      </c>
      <c r="L117" s="8" t="n"/>
      <c r="M117" s="6" t="n"/>
      <c r="N117" s="10" t="n"/>
      <c r="O117" s="18" t="n"/>
      <c r="P117" s="32" t="n"/>
      <c r="Q117" s="33" t="n"/>
      <c r="R117" s="34" t="n"/>
      <c r="S117" t="inlineStr">
        <is>
          <t>Gesipa</t>
        </is>
      </c>
      <c r="T117" t="inlineStr">
        <is>
          <t>1679662</t>
        </is>
      </c>
      <c r="U117" t="inlineStr">
        <is>
          <t>Gesipa Accubird Pro rivet tool kit (2 batteries + 1 charger). Fastenal SKU 1679662</t>
        </is>
      </c>
      <c r="V117" t="inlineStr">
        <is>
          <t>https://www.gesipa.com/en/</t>
        </is>
      </c>
      <c r="W117" t="inlineStr">
        <is>
          <t>MANUAL_REVIEW</t>
        </is>
      </c>
      <c r="X117" t="inlineStr">
        <is>
          <t>Required Brand column = 'Gesipa' → MFG: Gesipa. Fastenal scraper returned NOT_FOUND; Fastenal SKU likely maps to Gesipa Accubird Pro PT (~7271018). Anthony's team to confirm exact Gesipa model PN.</t>
        </is>
      </c>
      <c r="Y117" t="inlineStr">
        <is>
          <t>2026-04-29</t>
        </is>
      </c>
    </row>
    <row r="118">
      <c r="A118" s="24" t="inlineStr">
        <is>
          <t>Workcell</t>
        </is>
      </c>
      <c r="B118" t="inlineStr">
        <is>
          <t>Trash Can (grey, 40 gal square)</t>
        </is>
      </c>
      <c r="C118" s="55" t="n"/>
      <c r="D118" s="4" t="inlineStr">
        <is>
          <t>Uline</t>
        </is>
      </c>
      <c r="E118" s="42" t="inlineStr">
        <is>
          <t>H-3493GR</t>
        </is>
      </c>
      <c r="F118" s="25" t="inlineStr">
        <is>
          <t>2 per Pole cell, 1 per BIP cell, 3 in ship prep</t>
        </is>
      </c>
      <c r="G118" s="4" t="n">
        <v>29</v>
      </c>
      <c r="H118" s="4" t="n">
        <v>0</v>
      </c>
      <c r="I118" s="12">
        <f>G118+H118</f>
        <v/>
      </c>
      <c r="J118" s="14" t="n"/>
      <c r="K118" s="43">
        <f>J118*G118</f>
        <v/>
      </c>
      <c r="L118" s="8" t="n"/>
      <c r="M118" s="6" t="n"/>
      <c r="N118" s="10" t="n"/>
      <c r="O118" s="18" t="n"/>
      <c r="P118" s="32" t="n"/>
      <c r="Q118" s="33" t="n"/>
      <c r="R118" s="34" t="n"/>
      <c r="S118" t="inlineStr">
        <is>
          <t>Uline</t>
        </is>
      </c>
      <c r="T118" t="inlineStr">
        <is>
          <t>H-3493GR</t>
        </is>
      </c>
      <c r="U118" t="inlineStr">
        <is>
          <t>40 Gallon Square Trash Can — Gray</t>
        </is>
      </c>
      <c r="V118" t="inlineStr">
        <is>
          <t>https://www.uline.com/Product/Detail/H-3493GR</t>
        </is>
      </c>
      <c r="W118" t="inlineStr">
        <is>
          <t>MFG_IS_VENDOR</t>
        </is>
      </c>
      <c r="X118" t="inlineStr">
        <is>
          <t>Uline house brand (H-prefixed PN). Bookmarklet didn't extract MFG header on this page; fixed via house-brand inference.</t>
        </is>
      </c>
      <c r="Y118" t="inlineStr">
        <is>
          <t>2026-04-29</t>
        </is>
      </c>
    </row>
    <row r="119">
      <c r="A119" s="24" t="inlineStr">
        <is>
          <t>Workcell</t>
        </is>
      </c>
      <c r="B119" t="inlineStr">
        <is>
          <t>Trash Can Dolly (square)</t>
        </is>
      </c>
      <c r="C119" s="55" t="n"/>
      <c r="D119" s="4" t="inlineStr">
        <is>
          <t>Uline</t>
        </is>
      </c>
      <c r="E119" s="42" t="inlineStr">
        <is>
          <t>H-3498</t>
        </is>
      </c>
      <c r="F119" s="25" t="inlineStr">
        <is>
          <t>One per trash can</t>
        </is>
      </c>
      <c r="G119" s="4" t="n">
        <v>29</v>
      </c>
      <c r="H119" s="4" t="n">
        <v>0</v>
      </c>
      <c r="I119" s="12">
        <f>G119+H119</f>
        <v/>
      </c>
      <c r="J119" s="14" t="n"/>
      <c r="K119" s="43">
        <f>J119*G119</f>
        <v/>
      </c>
      <c r="L119" s="8" t="n"/>
      <c r="M119" s="6" t="n"/>
      <c r="N119" s="10" t="n"/>
      <c r="O119" s="18" t="n"/>
      <c r="P119" s="32" t="n"/>
      <c r="Q119" s="33" t="n"/>
      <c r="R119" s="34" t="n"/>
      <c r="S119" t="inlineStr">
        <is>
          <t>Uline</t>
        </is>
      </c>
      <c r="T119" t="inlineStr">
        <is>
          <t>H-3498</t>
        </is>
      </c>
      <c r="U119" t="inlineStr">
        <is>
          <t>Trash Can Dolly (square)</t>
        </is>
      </c>
      <c r="V119" t="inlineStr">
        <is>
          <t>https://www.uline.com/Product/Detail/H-3498</t>
        </is>
      </c>
      <c r="W119" t="inlineStr">
        <is>
          <t>MFG_IS_VENDOR</t>
        </is>
      </c>
      <c r="X119" t="inlineStr">
        <is>
          <t>Uline house brand (H-prefixed PN).</t>
        </is>
      </c>
      <c r="Y119" t="inlineStr">
        <is>
          <t>2026-04-29</t>
        </is>
      </c>
    </row>
    <row r="120">
      <c r="A120" s="24" t="inlineStr">
        <is>
          <t>Workcell</t>
        </is>
      </c>
      <c r="B120" t="inlineStr">
        <is>
          <t>Recycle Can (blue, 44 gal round)</t>
        </is>
      </c>
      <c r="C120" s="55" t="n"/>
      <c r="D120" s="4" t="inlineStr">
        <is>
          <t>Uline</t>
        </is>
      </c>
      <c r="E120" s="42" t="inlineStr">
        <is>
          <t>H-1046BLU</t>
        </is>
      </c>
      <c r="F120" s="25" t="n"/>
      <c r="G120" s="4">
        <f>2+7</f>
        <v/>
      </c>
      <c r="H120" s="4" t="n">
        <v>0</v>
      </c>
      <c r="I120" s="12">
        <f>G120+H120</f>
        <v/>
      </c>
      <c r="J120" s="14" t="n"/>
      <c r="K120" s="43">
        <f>J120*G120</f>
        <v/>
      </c>
      <c r="L120" s="8" t="n"/>
      <c r="M120" s="6" t="n"/>
      <c r="N120" s="10" t="n"/>
      <c r="O120" s="18" t="n"/>
      <c r="P120" s="32" t="n"/>
      <c r="Q120" s="33" t="n"/>
      <c r="R120" s="34" t="n"/>
      <c r="S120" t="inlineStr">
        <is>
          <t>Uline</t>
        </is>
      </c>
      <c r="T120" t="inlineStr">
        <is>
          <t>H-1046BLU</t>
        </is>
      </c>
      <c r="U120" t="inlineStr">
        <is>
          <t>44 Gallon Round Recycle Can — Blue</t>
        </is>
      </c>
      <c r="V120" t="inlineStr">
        <is>
          <t>https://www.uline.com/Product/Detail/H-1046BLU</t>
        </is>
      </c>
      <c r="W120" t="inlineStr">
        <is>
          <t>MFG_IS_VENDOR</t>
        </is>
      </c>
      <c r="X120" t="inlineStr">
        <is>
          <t>Uline house brand (H-prefixed PN).</t>
        </is>
      </c>
      <c r="Y120" t="inlineStr">
        <is>
          <t>2026-04-29</t>
        </is>
      </c>
    </row>
    <row r="121">
      <c r="A121" s="24" t="inlineStr">
        <is>
          <t>Workcell</t>
        </is>
      </c>
      <c r="B121" t="inlineStr">
        <is>
          <t>Scrap Can (white, 44 gal round)</t>
        </is>
      </c>
      <c r="C121" s="55" t="n"/>
      <c r="D121" s="4" t="inlineStr">
        <is>
          <t>Uline</t>
        </is>
      </c>
      <c r="E121" s="42" t="inlineStr">
        <is>
          <t>H-1046W</t>
        </is>
      </c>
      <c r="F121" s="25" t="n"/>
      <c r="G121" s="4" t="n">
        <v>9</v>
      </c>
      <c r="H121" s="4" t="n">
        <v>0</v>
      </c>
      <c r="I121" s="12">
        <f>G121+H121</f>
        <v/>
      </c>
      <c r="J121" s="14" t="n"/>
      <c r="K121" s="43">
        <f>J121*G121</f>
        <v/>
      </c>
      <c r="L121" s="8" t="n"/>
      <c r="M121" s="6" t="n"/>
      <c r="N121" s="10" t="n"/>
      <c r="O121" s="18" t="n"/>
      <c r="P121" s="32" t="n"/>
      <c r="Q121" s="33" t="n"/>
      <c r="R121" s="34" t="n"/>
      <c r="S121" t="inlineStr">
        <is>
          <t>Uline</t>
        </is>
      </c>
      <c r="T121" t="inlineStr">
        <is>
          <t>H-1046W</t>
        </is>
      </c>
      <c r="U121" t="inlineStr">
        <is>
          <t>44 Gallon Round Scrap Can — White</t>
        </is>
      </c>
      <c r="V121" t="inlineStr">
        <is>
          <t>https://www.uline.com/Product/Detail/H-1046W</t>
        </is>
      </c>
      <c r="W121" t="inlineStr">
        <is>
          <t>MFG_IS_VENDOR</t>
        </is>
      </c>
      <c r="X121" t="inlineStr">
        <is>
          <t>Uline house brand (H-prefixed PN).</t>
        </is>
      </c>
      <c r="Y121" t="inlineStr">
        <is>
          <t>2026-04-29</t>
        </is>
      </c>
    </row>
    <row r="122">
      <c r="A122" s="24" t="inlineStr">
        <is>
          <t>Workcell</t>
        </is>
      </c>
      <c r="B122" t="inlineStr">
        <is>
          <t>Trash Can Dolly (round)</t>
        </is>
      </c>
      <c r="C122" s="55" t="n"/>
      <c r="D122" s="4" t="inlineStr">
        <is>
          <t>Uline</t>
        </is>
      </c>
      <c r="E122" s="42" t="inlineStr">
        <is>
          <t>H-7928</t>
        </is>
      </c>
      <c r="F122" s="25" t="n"/>
      <c r="G122" s="4" t="n">
        <v>18</v>
      </c>
      <c r="H122" s="4" t="n">
        <v>0</v>
      </c>
      <c r="I122" s="12">
        <f>G122+H122</f>
        <v/>
      </c>
      <c r="J122" s="14" t="n"/>
      <c r="K122" s="43">
        <f>J122*G122</f>
        <v/>
      </c>
      <c r="L122" s="8" t="n"/>
      <c r="M122" s="6" t="n"/>
      <c r="N122" s="10" t="n"/>
      <c r="O122" s="18" t="n"/>
      <c r="P122" s="32" t="n"/>
      <c r="Q122" s="33" t="n"/>
      <c r="R122" s="34" t="n"/>
      <c r="S122" t="inlineStr">
        <is>
          <t>Uline</t>
        </is>
      </c>
      <c r="T122" t="inlineStr">
        <is>
          <t>H-7928</t>
        </is>
      </c>
      <c r="U122" t="inlineStr">
        <is>
          <t>Trash Can Dolly (round)</t>
        </is>
      </c>
      <c r="V122" t="inlineStr">
        <is>
          <t>https://www.uline.com/Product/Detail/H-7928</t>
        </is>
      </c>
      <c r="W122" t="inlineStr">
        <is>
          <t>MFG_IS_VENDOR</t>
        </is>
      </c>
      <c r="X122" t="inlineStr">
        <is>
          <t>Uline house brand (H-prefixed PN).</t>
        </is>
      </c>
      <c r="Y122" t="inlineStr">
        <is>
          <t>2026-04-29</t>
        </is>
      </c>
    </row>
    <row r="123">
      <c r="A123" s="24" t="inlineStr">
        <is>
          <t>Workcell</t>
        </is>
      </c>
      <c r="B123" t="inlineStr">
        <is>
          <t>Recycling Rolling Container (Blue)</t>
        </is>
      </c>
      <c r="C123" s="55" t="n"/>
      <c r="D123" s="4" t="inlineStr">
        <is>
          <t>Uline</t>
        </is>
      </c>
      <c r="E123" s="42" t="inlineStr">
        <is>
          <t>H-1956BLU</t>
        </is>
      </c>
      <c r="F123" s="25" t="n"/>
      <c r="G123" s="4" t="n">
        <v>4</v>
      </c>
      <c r="H123" s="4" t="n">
        <v>0</v>
      </c>
      <c r="I123" s="12">
        <f>G123+H123</f>
        <v/>
      </c>
      <c r="J123" s="14" t="n"/>
      <c r="K123" s="43">
        <f>J123*G123</f>
        <v/>
      </c>
      <c r="L123" s="8" t="n"/>
      <c r="M123" s="6" t="n"/>
      <c r="N123" s="10" t="n"/>
      <c r="O123" s="18" t="n"/>
      <c r="P123" s="32" t="n"/>
      <c r="Q123" s="33" t="n"/>
      <c r="R123" s="34" t="n"/>
      <c r="S123" t="inlineStr">
        <is>
          <t>Uline</t>
        </is>
      </c>
      <c r="T123" t="inlineStr">
        <is>
          <t>H-1956BLU</t>
        </is>
      </c>
      <c r="U123" t="inlineStr">
        <is>
          <t>Recycling Rolling Container — Blue</t>
        </is>
      </c>
      <c r="V123" t="inlineStr">
        <is>
          <t>https://www.uline.com/Product/Detail/H-1956BLU</t>
        </is>
      </c>
      <c r="W123" t="inlineStr">
        <is>
          <t>MFG_IS_VENDOR</t>
        </is>
      </c>
      <c r="X123" t="inlineStr">
        <is>
          <t>Uline house brand (H-prefixed PN).</t>
        </is>
      </c>
      <c r="Y123" t="inlineStr">
        <is>
          <t>2026-04-29</t>
        </is>
      </c>
    </row>
    <row r="124">
      <c r="A124" s="24" t="inlineStr">
        <is>
          <t>Workcell</t>
        </is>
      </c>
      <c r="B124" t="inlineStr">
        <is>
          <t>30 x 60 Table</t>
        </is>
      </c>
      <c r="C124" s="55" t="n"/>
      <c r="D124" s="4" t="inlineStr">
        <is>
          <t>Uline</t>
        </is>
      </c>
      <c r="E124" s="42" t="inlineStr">
        <is>
          <t>H-11756-MAP</t>
        </is>
      </c>
      <c r="F124" s="25" t="inlineStr">
        <is>
          <t>1 per cell for 72-362 BIP cells, 5 in ship prep</t>
        </is>
      </c>
      <c r="G124" s="4" t="n">
        <v>43</v>
      </c>
      <c r="H124" s="4" t="n">
        <v>0</v>
      </c>
      <c r="I124" s="12">
        <f>G124+H124</f>
        <v/>
      </c>
      <c r="J124" s="14" t="n"/>
      <c r="K124" s="43">
        <f>J124*G124</f>
        <v/>
      </c>
      <c r="L124" s="8" t="n"/>
      <c r="M124" s="6" t="n"/>
      <c r="N124" s="10" t="n"/>
      <c r="O124" s="18" t="n"/>
      <c r="P124" s="32" t="n"/>
      <c r="Q124" s="33" t="n"/>
      <c r="R124" s="34" t="n"/>
      <c r="S124" t="inlineStr">
        <is>
          <t>Uline</t>
        </is>
      </c>
      <c r="T124" t="inlineStr">
        <is>
          <t>H-3896BLU</t>
        </is>
      </c>
      <c r="V124" t="inlineStr">
        <is>
          <t>https://www.uline.com/Product/Detail/H-3896BLU</t>
        </is>
      </c>
      <c r="W124" t="inlineStr">
        <is>
          <t>MFG_IS_VENDOR</t>
        </is>
      </c>
      <c r="X124" t="inlineStr">
        <is>
          <t>Uline house brand</t>
        </is>
      </c>
      <c r="Y124" t="inlineStr">
        <is>
          <t>2026-04-29</t>
        </is>
      </c>
    </row>
    <row r="125">
      <c r="A125" s="24" t="inlineStr">
        <is>
          <t>Workcell</t>
        </is>
      </c>
      <c r="B125" t="inlineStr">
        <is>
          <t>Mobile Peg Board Cart</t>
        </is>
      </c>
      <c r="C125" s="55" t="n"/>
      <c r="D125" s="4" t="inlineStr">
        <is>
          <t>Fastenal</t>
        </is>
      </c>
      <c r="E125" s="42" t="inlineStr">
        <is>
          <t>AFPB2S2448-TL60</t>
        </is>
      </c>
      <c r="F125" s="25" t="n"/>
      <c r="G125" s="4" t="n">
        <v>21</v>
      </c>
      <c r="H125" s="4" t="n">
        <v>0</v>
      </c>
      <c r="I125" s="12">
        <f>G125+H125</f>
        <v/>
      </c>
      <c r="J125" s="14" t="n"/>
      <c r="K125" s="43">
        <f>J125*G125</f>
        <v/>
      </c>
      <c r="L125" s="8" t="n"/>
      <c r="M125" s="6" t="n"/>
      <c r="N125" s="10" t="n"/>
      <c r="O125" s="18" t="n"/>
      <c r="P125" s="32" t="n"/>
      <c r="Q125" s="33" t="n"/>
      <c r="R125" s="34" t="n"/>
      <c r="S125" t="inlineStr">
        <is>
          <t>Little Giant</t>
        </is>
      </c>
      <c r="T125" t="inlineStr">
        <is>
          <t>AFPB2S2448-TL60</t>
        </is>
      </c>
      <c r="U125" t="inlineStr">
        <is>
          <t>60" Tall Mobile Pegboard A-Frame, double-sided, 24x48",  2000 lb capacity</t>
        </is>
      </c>
      <c r="V125" t="inlineStr">
        <is>
          <t>https://www.littlegiant-usa.com/product/mobile-pegboard-a-frame-60-tall/</t>
        </is>
      </c>
      <c r="W125" t="inlineStr">
        <is>
          <t>OK</t>
        </is>
      </c>
      <c r="X125" t="inlineStr">
        <is>
          <t>Fastenal SKU AFPB2S2448-TL60 is Little Giant's MFG PN (Little Giant Manufacturing). Fastenal scraper returned NOT_FOUND; resolved via Little Giant product catalog.</t>
        </is>
      </c>
      <c r="Y125" t="inlineStr">
        <is>
          <t>2026-04-29</t>
        </is>
      </c>
    </row>
    <row r="126">
      <c r="A126" s="24" t="inlineStr">
        <is>
          <t>Workcell</t>
        </is>
      </c>
      <c r="B126" t="inlineStr">
        <is>
          <t>Pegboard 2-3/4" Curved Hook (10 pack)</t>
        </is>
      </c>
      <c r="C126" s="55" t="n"/>
      <c r="D126" s="4" t="inlineStr">
        <is>
          <t>McMastercarr</t>
        </is>
      </c>
      <c r="E126" s="45" t="inlineStr">
        <is>
          <t>18515A118</t>
        </is>
      </c>
      <c r="F126" s="25" t="inlineStr">
        <is>
          <t>Triton Products Durahook</t>
        </is>
      </c>
      <c r="G126" s="4" t="n">
        <v>5</v>
      </c>
      <c r="H126" s="4" t="n">
        <v>0</v>
      </c>
      <c r="I126" s="12">
        <f>G126+H126</f>
        <v/>
      </c>
      <c r="J126" s="14" t="n"/>
      <c r="K126" s="43">
        <f>J126*G126</f>
        <v/>
      </c>
      <c r="L126" s="8" t="n"/>
      <c r="M126" s="6" t="n"/>
      <c r="N126" s="10" t="n"/>
      <c r="O126" s="18" t="n"/>
      <c r="P126" s="32" t="n"/>
      <c r="Q126" s="33" t="n"/>
      <c r="R126" s="34" t="n"/>
      <c r="S126" t="inlineStr">
        <is>
          <t>McMaster-Carr</t>
        </is>
      </c>
      <c r="T126" t="inlineStr">
        <is>
          <t>18515A118</t>
        </is>
      </c>
      <c r="V126" t="inlineStr">
        <is>
          <t>https://www.mcmaster.com/18515A118/</t>
        </is>
      </c>
      <c r="W126" t="inlineStr">
        <is>
          <t>MFG_IS_VENDOR</t>
        </is>
      </c>
      <c r="X126" t="inlineStr">
        <is>
          <t>McMaster house brand (no third-party MFG shown on product page)</t>
        </is>
      </c>
      <c r="Y126" t="inlineStr">
        <is>
          <t>2026-04-29</t>
        </is>
      </c>
    </row>
    <row r="127">
      <c r="A127" s="24" t="inlineStr">
        <is>
          <t>Workcell</t>
        </is>
      </c>
      <c r="B127" t="inlineStr">
        <is>
          <t>Pegboard 4-1/8" Curved Hook (10 pack)</t>
        </is>
      </c>
      <c r="C127" s="55" t="n"/>
      <c r="D127" s="4" t="inlineStr">
        <is>
          <t>McMastercarr</t>
        </is>
      </c>
      <c r="E127" s="45" t="inlineStr">
        <is>
          <t>18515A119</t>
        </is>
      </c>
      <c r="F127" s="25" t="inlineStr">
        <is>
          <t>Triton Products Durahook</t>
        </is>
      </c>
      <c r="G127" s="4" t="n">
        <v>5</v>
      </c>
      <c r="H127" s="4" t="n">
        <v>0</v>
      </c>
      <c r="I127" s="12">
        <f>G127+H127</f>
        <v/>
      </c>
      <c r="J127" s="14" t="n"/>
      <c r="K127" s="43">
        <f>J127*G127</f>
        <v/>
      </c>
      <c r="L127" s="8" t="n"/>
      <c r="M127" s="6" t="n"/>
      <c r="N127" s="10" t="n"/>
      <c r="O127" s="18" t="n"/>
      <c r="P127" s="32" t="n"/>
      <c r="Q127" s="33" t="n"/>
      <c r="R127" s="34" t="n"/>
      <c r="S127" t="inlineStr">
        <is>
          <t>McMaster-Carr</t>
        </is>
      </c>
      <c r="T127" t="inlineStr">
        <is>
          <t>18515A119</t>
        </is>
      </c>
      <c r="V127" t="inlineStr">
        <is>
          <t>https://www.mcmaster.com/18515A119/</t>
        </is>
      </c>
      <c r="W127" t="inlineStr">
        <is>
          <t>MFG_IS_VENDOR</t>
        </is>
      </c>
      <c r="X127" t="inlineStr">
        <is>
          <t>McMaster house brand (no third-party MFG shown on product page)</t>
        </is>
      </c>
      <c r="Y127" t="inlineStr">
        <is>
          <t>2026-04-29</t>
        </is>
      </c>
    </row>
    <row r="128">
      <c r="A128" s="24" t="inlineStr">
        <is>
          <t>Workcell</t>
        </is>
      </c>
      <c r="B128" t="inlineStr">
        <is>
          <t>Pegboard 3-1/4" Double Rod (10 pack)</t>
        </is>
      </c>
      <c r="C128" s="55" t="n"/>
      <c r="D128" s="4" t="inlineStr">
        <is>
          <t>McMastercarr</t>
        </is>
      </c>
      <c r="E128" s="45" t="inlineStr">
        <is>
          <t>18515A144</t>
        </is>
      </c>
      <c r="F128" s="25" t="inlineStr">
        <is>
          <t>Triton Products Durahook</t>
        </is>
      </c>
      <c r="G128" s="4" t="n">
        <v>5</v>
      </c>
      <c r="H128" s="4" t="n">
        <v>0</v>
      </c>
      <c r="I128" s="12">
        <f>G128+H128</f>
        <v/>
      </c>
      <c r="J128" s="14" t="n"/>
      <c r="K128" s="43">
        <f>J128*G128</f>
        <v/>
      </c>
      <c r="L128" s="8" t="n"/>
      <c r="M128" s="6" t="n"/>
      <c r="N128" s="10" t="n"/>
      <c r="O128" s="18" t="n"/>
      <c r="P128" s="32" t="n"/>
      <c r="Q128" s="33" t="n"/>
      <c r="R128" s="34" t="n"/>
      <c r="S128" t="inlineStr">
        <is>
          <t>McMaster-Carr</t>
        </is>
      </c>
      <c r="T128" t="inlineStr">
        <is>
          <t>18515A144</t>
        </is>
      </c>
      <c r="V128" t="inlineStr">
        <is>
          <t>https://www.mcmaster.com/18515A144/</t>
        </is>
      </c>
      <c r="W128" t="inlineStr">
        <is>
          <t>MFG_IS_VENDOR</t>
        </is>
      </c>
      <c r="X128" t="inlineStr">
        <is>
          <t>McMaster house brand (no third-party MFG shown on product page)</t>
        </is>
      </c>
      <c r="Y128" t="inlineStr">
        <is>
          <t>2026-04-29</t>
        </is>
      </c>
    </row>
    <row r="129">
      <c r="A129" s="24" t="inlineStr">
        <is>
          <t>Workcell</t>
        </is>
      </c>
      <c r="B129" t="inlineStr">
        <is>
          <t>Pegboard Spring Clips 1/4" - 1/2" (10 pack)</t>
        </is>
      </c>
      <c r="C129" s="55" t="n"/>
      <c r="D129" s="4" t="inlineStr">
        <is>
          <t>McMastercarr</t>
        </is>
      </c>
      <c r="E129" s="45" t="inlineStr">
        <is>
          <t>18515A137</t>
        </is>
      </c>
      <c r="F129" s="25" t="inlineStr">
        <is>
          <t>Triton Products Durahook</t>
        </is>
      </c>
      <c r="G129" s="4" t="n">
        <v>5</v>
      </c>
      <c r="H129" s="4" t="n">
        <v>0</v>
      </c>
      <c r="I129" s="12">
        <f>G129+H129</f>
        <v/>
      </c>
      <c r="J129" s="14" t="n"/>
      <c r="K129" s="43">
        <f>J129*G129</f>
        <v/>
      </c>
      <c r="L129" s="8" t="n"/>
      <c r="M129" s="6" t="n"/>
      <c r="N129" s="10" t="n"/>
      <c r="O129" s="18" t="n"/>
      <c r="P129" s="32" t="n"/>
      <c r="Q129" s="33" t="n"/>
      <c r="R129" s="34" t="n"/>
      <c r="S129" t="inlineStr">
        <is>
          <t>McMaster-Carr</t>
        </is>
      </c>
      <c r="T129" t="inlineStr">
        <is>
          <t>18515A137</t>
        </is>
      </c>
      <c r="V129" t="inlineStr">
        <is>
          <t>https://www.mcmaster.com/18515A137/</t>
        </is>
      </c>
      <c r="W129" t="inlineStr">
        <is>
          <t>MFG_IS_VENDOR</t>
        </is>
      </c>
      <c r="X129" t="inlineStr">
        <is>
          <t>McMaster house brand (no third-party MFG shown on product page)</t>
        </is>
      </c>
      <c r="Y129" t="inlineStr">
        <is>
          <t>2026-04-29</t>
        </is>
      </c>
    </row>
    <row r="130">
      <c r="A130" s="24" t="inlineStr">
        <is>
          <t>Workcell</t>
        </is>
      </c>
      <c r="B130" t="inlineStr">
        <is>
          <t>Pegboard Spring Clips 3/4" - 1-1/4" (10 pack)</t>
        </is>
      </c>
      <c r="C130" s="55" t="n"/>
      <c r="D130" s="4" t="inlineStr">
        <is>
          <t>McMastercarr</t>
        </is>
      </c>
      <c r="E130" s="45" t="inlineStr">
        <is>
          <t>18515A136</t>
        </is>
      </c>
      <c r="F130" s="25" t="inlineStr">
        <is>
          <t>Triton Products Durahook</t>
        </is>
      </c>
      <c r="G130" s="4" t="n">
        <v>5</v>
      </c>
      <c r="H130" s="4" t="n">
        <v>0</v>
      </c>
      <c r="I130" s="12">
        <f>G130+H130</f>
        <v/>
      </c>
      <c r="J130" s="14" t="n"/>
      <c r="K130" s="43">
        <f>J130*G130</f>
        <v/>
      </c>
      <c r="L130" s="8" t="n"/>
      <c r="M130" s="6" t="n"/>
      <c r="N130" s="10" t="n"/>
      <c r="O130" s="18" t="n"/>
      <c r="P130" s="32" t="n"/>
      <c r="Q130" s="33" t="n"/>
      <c r="R130" s="34" t="n"/>
      <c r="S130" t="inlineStr">
        <is>
          <t>McMaster-Carr</t>
        </is>
      </c>
      <c r="T130" t="inlineStr">
        <is>
          <t>18515A136</t>
        </is>
      </c>
      <c r="V130" t="inlineStr">
        <is>
          <t>https://www.mcmaster.com/18515A136/</t>
        </is>
      </c>
      <c r="W130" t="inlineStr">
        <is>
          <t>MFG_IS_VENDOR</t>
        </is>
      </c>
      <c r="X130" t="inlineStr">
        <is>
          <t>McMaster house brand (no third-party MFG shown on product page)</t>
        </is>
      </c>
      <c r="Y130" t="inlineStr">
        <is>
          <t>2026-04-29</t>
        </is>
      </c>
    </row>
    <row r="131">
      <c r="A131" s="24" t="inlineStr">
        <is>
          <t>Workcell</t>
        </is>
      </c>
      <c r="B131" t="inlineStr">
        <is>
          <t>Pegboard 2" Curved Rod (10 pack)</t>
        </is>
      </c>
      <c r="C131" s="55" t="n"/>
      <c r="D131" s="4" t="inlineStr">
        <is>
          <t>McMastercarr</t>
        </is>
      </c>
      <c r="E131" s="45" t="inlineStr">
        <is>
          <t>18515A151</t>
        </is>
      </c>
      <c r="F131" s="25" t="inlineStr">
        <is>
          <t>Triton Products Durahook</t>
        </is>
      </c>
      <c r="G131" s="4" t="n">
        <v>5</v>
      </c>
      <c r="H131" s="4" t="n">
        <v>0</v>
      </c>
      <c r="I131" s="12">
        <f>G131+H131</f>
        <v/>
      </c>
      <c r="J131" s="14" t="n"/>
      <c r="K131" s="43">
        <f>J131*G131</f>
        <v/>
      </c>
      <c r="L131" s="8" t="n"/>
      <c r="M131" s="6" t="n"/>
      <c r="N131" s="10" t="n"/>
      <c r="O131" s="18" t="n"/>
      <c r="P131" s="32" t="n"/>
      <c r="Q131" s="33" t="n"/>
      <c r="R131" s="34" t="n"/>
      <c r="S131" t="inlineStr">
        <is>
          <t>McMaster-Carr</t>
        </is>
      </c>
      <c r="T131" t="inlineStr">
        <is>
          <t>18515A151</t>
        </is>
      </c>
      <c r="V131" t="inlineStr">
        <is>
          <t>https://www.mcmaster.com/18515A151/</t>
        </is>
      </c>
      <c r="W131" t="inlineStr">
        <is>
          <t>MFG_IS_VENDOR</t>
        </is>
      </c>
      <c r="X131" t="inlineStr">
        <is>
          <t>McMaster house brand (no third-party MFG shown on product page)</t>
        </is>
      </c>
      <c r="Y131" t="inlineStr">
        <is>
          <t>2026-04-29</t>
        </is>
      </c>
    </row>
    <row r="132">
      <c r="A132" s="24" t="inlineStr">
        <is>
          <t>Workcell</t>
        </is>
      </c>
      <c r="B132" t="inlineStr">
        <is>
          <t>Pegboard 3" Curved Rod (10 pack)</t>
        </is>
      </c>
      <c r="C132" s="55" t="n"/>
      <c r="D132" s="4" t="inlineStr">
        <is>
          <t>McMastercarr</t>
        </is>
      </c>
      <c r="E132" s="45" t="inlineStr">
        <is>
          <t>18515A111</t>
        </is>
      </c>
      <c r="F132" s="25" t="inlineStr">
        <is>
          <t>Triton Products Durahook</t>
        </is>
      </c>
      <c r="G132" s="4" t="n">
        <v>5</v>
      </c>
      <c r="H132" s="4" t="n">
        <v>0</v>
      </c>
      <c r="I132" s="12">
        <f>G132+H132</f>
        <v/>
      </c>
      <c r="J132" s="14" t="n"/>
      <c r="K132" s="43">
        <f>J132*G132</f>
        <v/>
      </c>
      <c r="L132" s="8" t="n"/>
      <c r="M132" s="6" t="n"/>
      <c r="N132" s="10" t="n"/>
      <c r="O132" s="18" t="n"/>
      <c r="P132" s="32" t="n"/>
      <c r="Q132" s="33" t="n"/>
      <c r="R132" s="34" t="n"/>
      <c r="S132" t="inlineStr">
        <is>
          <t>McMaster-Carr</t>
        </is>
      </c>
      <c r="T132" t="inlineStr">
        <is>
          <t>18515A111</t>
        </is>
      </c>
      <c r="V132" t="inlineStr">
        <is>
          <t>https://www.mcmaster.com/18515A111/</t>
        </is>
      </c>
      <c r="W132" t="inlineStr">
        <is>
          <t>MFG_IS_VENDOR</t>
        </is>
      </c>
      <c r="X132" t="inlineStr">
        <is>
          <t>McMaster house brand (no third-party MFG shown on product page)</t>
        </is>
      </c>
      <c r="Y132" t="inlineStr">
        <is>
          <t>2026-04-29</t>
        </is>
      </c>
    </row>
    <row r="133">
      <c r="A133" s="24" t="inlineStr">
        <is>
          <t>Workcell</t>
        </is>
      </c>
      <c r="B133" t="inlineStr">
        <is>
          <t>Pegboard 4-5/8" Curved Rod (10 pack)</t>
        </is>
      </c>
      <c r="C133" s="55" t="n"/>
      <c r="D133" s="4" t="inlineStr">
        <is>
          <t>McMastercarr</t>
        </is>
      </c>
      <c r="E133" s="45" t="inlineStr">
        <is>
          <t>18515A112</t>
        </is>
      </c>
      <c r="F133" s="25" t="inlineStr">
        <is>
          <t>Triton Products Durahook</t>
        </is>
      </c>
      <c r="G133" s="4" t="n">
        <v>5</v>
      </c>
      <c r="H133" s="4" t="n">
        <v>0</v>
      </c>
      <c r="I133" s="12">
        <f>G133+H133</f>
        <v/>
      </c>
      <c r="J133" s="14" t="n"/>
      <c r="K133" s="43">
        <f>J133*G133</f>
        <v/>
      </c>
      <c r="L133" s="8" t="n"/>
      <c r="M133" s="6" t="n"/>
      <c r="N133" s="10" t="n"/>
      <c r="O133" s="18" t="n"/>
      <c r="P133" s="32" t="n"/>
      <c r="Q133" s="33" t="n"/>
      <c r="R133" s="34" t="n"/>
      <c r="S133" t="inlineStr">
        <is>
          <t>McMaster-Carr</t>
        </is>
      </c>
      <c r="T133" t="inlineStr">
        <is>
          <t>18515A112</t>
        </is>
      </c>
      <c r="V133" t="inlineStr">
        <is>
          <t>https://www.mcmaster.com/18515A112/</t>
        </is>
      </c>
      <c r="W133" t="inlineStr">
        <is>
          <t>MFG_IS_VENDOR</t>
        </is>
      </c>
      <c r="X133" t="inlineStr">
        <is>
          <t>McMaster house brand (no third-party MFG shown on product page)</t>
        </is>
      </c>
      <c r="Y133" t="inlineStr">
        <is>
          <t>2026-04-29</t>
        </is>
      </c>
    </row>
    <row r="134">
      <c r="A134" s="24" t="inlineStr">
        <is>
          <t>Workcell</t>
        </is>
      </c>
      <c r="B134" t="inlineStr">
        <is>
          <t>Pegboard 1-1/2" Single Bed Hook (10 pack)</t>
        </is>
      </c>
      <c r="C134" s="55" t="n"/>
      <c r="D134" s="4" t="inlineStr">
        <is>
          <t>McMastercarr</t>
        </is>
      </c>
      <c r="E134" s="45" t="inlineStr">
        <is>
          <t>18515A122</t>
        </is>
      </c>
      <c r="F134" s="25" t="inlineStr">
        <is>
          <t>Triton Products Durahook</t>
        </is>
      </c>
      <c r="G134" s="4" t="n">
        <v>5</v>
      </c>
      <c r="H134" s="4" t="n">
        <v>0</v>
      </c>
      <c r="I134" s="12">
        <f>G134+H134</f>
        <v/>
      </c>
      <c r="J134" s="14" t="n"/>
      <c r="K134" s="43">
        <f>J134*G134</f>
        <v/>
      </c>
      <c r="L134" s="8" t="n"/>
      <c r="M134" s="6" t="n"/>
      <c r="N134" s="10" t="n"/>
      <c r="O134" s="18" t="n"/>
      <c r="P134" s="32" t="n"/>
      <c r="Q134" s="33" t="n"/>
      <c r="R134" s="34" t="n"/>
      <c r="S134" t="inlineStr">
        <is>
          <t>McMaster-Carr</t>
        </is>
      </c>
      <c r="T134" t="inlineStr">
        <is>
          <t>18515A122</t>
        </is>
      </c>
      <c r="V134" t="inlineStr">
        <is>
          <t>https://www.mcmaster.com/18515A122/</t>
        </is>
      </c>
      <c r="W134" t="inlineStr">
        <is>
          <t>MFG_IS_VENDOR</t>
        </is>
      </c>
      <c r="X134" t="inlineStr">
        <is>
          <t>McMaster house brand (no third-party MFG shown on product page)</t>
        </is>
      </c>
      <c r="Y134" t="inlineStr">
        <is>
          <t>2026-04-29</t>
        </is>
      </c>
    </row>
    <row r="135">
      <c r="A135" s="24" t="inlineStr">
        <is>
          <t>Workcell</t>
        </is>
      </c>
      <c r="B135" t="inlineStr">
        <is>
          <t>Pegboard Double Closed Loop End Hook (5 pack)</t>
        </is>
      </c>
      <c r="C135" s="55" t="n"/>
      <c r="D135" s="4" t="inlineStr">
        <is>
          <t>McMastercarr</t>
        </is>
      </c>
      <c r="E135" s="45" t="inlineStr">
        <is>
          <t>18515A141</t>
        </is>
      </c>
      <c r="F135" s="25" t="inlineStr">
        <is>
          <t>Triton Products Durahook</t>
        </is>
      </c>
      <c r="G135" s="4" t="n">
        <v>3</v>
      </c>
      <c r="H135" s="4" t="n">
        <v>0</v>
      </c>
      <c r="I135" s="12">
        <f>G135+H135</f>
        <v/>
      </c>
      <c r="J135" s="14" t="n"/>
      <c r="K135" s="43">
        <f>J135*G135</f>
        <v/>
      </c>
      <c r="L135" s="8" t="n"/>
      <c r="M135" s="6" t="n"/>
      <c r="N135" s="10" t="n"/>
      <c r="O135" s="18" t="n"/>
      <c r="P135" s="32" t="n"/>
      <c r="Q135" s="33" t="n"/>
      <c r="R135" s="34" t="n"/>
      <c r="S135" t="inlineStr">
        <is>
          <t>McMaster-Carr</t>
        </is>
      </c>
      <c r="T135" t="inlineStr">
        <is>
          <t>18515A141</t>
        </is>
      </c>
      <c r="V135" t="inlineStr">
        <is>
          <t>https://www.mcmaster.com/18515A141/</t>
        </is>
      </c>
      <c r="W135" t="inlineStr">
        <is>
          <t>MFG_IS_VENDOR</t>
        </is>
      </c>
      <c r="X135" t="inlineStr">
        <is>
          <t>McMaster house brand (no third-party MFG shown on product page)</t>
        </is>
      </c>
      <c r="Y135" t="inlineStr">
        <is>
          <t>2026-04-29</t>
        </is>
      </c>
    </row>
    <row r="136">
      <c r="A136" s="24" t="inlineStr">
        <is>
          <t>Workcell</t>
        </is>
      </c>
      <c r="B136" t="inlineStr">
        <is>
          <t>Gravity Fed Part Rack</t>
        </is>
      </c>
      <c r="C136" s="55" t="n"/>
      <c r="D136" s="4" t="inlineStr">
        <is>
          <t>Uline</t>
        </is>
      </c>
      <c r="E136" s="42" t="inlineStr">
        <is>
          <t>H-3896BLU</t>
        </is>
      </c>
      <c r="F136" s="25" t="n"/>
      <c r="G136" s="4" t="n">
        <v>8</v>
      </c>
      <c r="H136" s="4" t="n">
        <v>0</v>
      </c>
      <c r="I136" s="12">
        <f>G136+H136</f>
        <v/>
      </c>
      <c r="J136" s="14" t="n"/>
      <c r="K136" s="43">
        <f>J136*G136</f>
        <v/>
      </c>
      <c r="L136" s="8" t="n"/>
      <c r="M136" s="6" t="n"/>
      <c r="N136" s="10" t="n"/>
      <c r="O136" s="18" t="n"/>
      <c r="P136" s="32" t="n"/>
      <c r="Q136" s="33" t="n"/>
      <c r="R136" s="34" t="n"/>
      <c r="S136" t="inlineStr">
        <is>
          <t>Uline</t>
        </is>
      </c>
      <c r="T136" t="inlineStr">
        <is>
          <t>H-3896BL</t>
        </is>
      </c>
      <c r="V136" t="inlineStr">
        <is>
          <t>https://www.uline.com/Product/Detail/H-3896BL</t>
        </is>
      </c>
      <c r="W136" t="inlineStr">
        <is>
          <t>MFG_IS_VENDOR</t>
        </is>
      </c>
      <c r="X136" t="inlineStr">
        <is>
          <t>Uline house brand</t>
        </is>
      </c>
      <c r="Y136" t="inlineStr">
        <is>
          <t>2026-04-29</t>
        </is>
      </c>
    </row>
    <row r="137">
      <c r="A137" s="24" t="inlineStr">
        <is>
          <t>Workcell</t>
        </is>
      </c>
      <c r="B137" t="inlineStr">
        <is>
          <t>Gravity Fed Part Rack</t>
        </is>
      </c>
      <c r="C137" s="55" t="n"/>
      <c r="D137" s="4" t="inlineStr">
        <is>
          <t>Uline</t>
        </is>
      </c>
      <c r="E137" s="46" t="inlineStr">
        <is>
          <t>H-3896BL</t>
        </is>
      </c>
      <c r="F137" s="25" t="n"/>
      <c r="G137" s="4" t="n">
        <v>17</v>
      </c>
      <c r="H137" s="4" t="n">
        <v>0</v>
      </c>
      <c r="I137" s="12">
        <f>G137+H137</f>
        <v/>
      </c>
      <c r="J137" s="14" t="n"/>
      <c r="K137" s="43">
        <f>J137*G137</f>
        <v/>
      </c>
      <c r="L137" s="8" t="n"/>
      <c r="M137" s="6" t="n"/>
      <c r="N137" s="10" t="n"/>
      <c r="O137" s="18" t="n"/>
      <c r="P137" s="32" t="n"/>
      <c r="Q137" s="33" t="n"/>
      <c r="R137" s="34" t="n"/>
      <c r="S137" t="inlineStr">
        <is>
          <t>Uline</t>
        </is>
      </c>
      <c r="T137" t="inlineStr">
        <is>
          <t>H-3896BL</t>
        </is>
      </c>
      <c r="U137" t="inlineStr">
        <is>
          <t>Gravity Fed Part Rack</t>
        </is>
      </c>
      <c r="V137" t="inlineStr">
        <is>
          <t>https://www.uline.com/Product/Detail/H-3896BL</t>
        </is>
      </c>
      <c r="W137" t="inlineStr">
        <is>
          <t>MFG_IS_VENDOR</t>
        </is>
      </c>
      <c r="X137" t="inlineStr">
        <is>
          <t>Uline house brand (H-prefixed PN).</t>
        </is>
      </c>
      <c r="Y137" t="inlineStr">
        <is>
          <t>2026-04-29</t>
        </is>
      </c>
    </row>
    <row r="138">
      <c r="A138" s="24" t="inlineStr">
        <is>
          <t>Workcell</t>
        </is>
      </c>
      <c r="B138" t="inlineStr">
        <is>
          <t>Rolling Ladders</t>
        </is>
      </c>
      <c r="C138" s="55" t="n"/>
      <c r="D138" s="4" t="inlineStr">
        <is>
          <t>MSC</t>
        </is>
      </c>
      <c r="E138" s="42" t="inlineStr">
        <is>
          <t>11452174</t>
        </is>
      </c>
      <c r="F138" s="25" t="n"/>
      <c r="G138" s="4" t="n">
        <v>32</v>
      </c>
      <c r="H138" s="4" t="n">
        <v>0</v>
      </c>
      <c r="I138" s="12">
        <f>G138+H138</f>
        <v/>
      </c>
      <c r="J138" s="14" t="n"/>
      <c r="K138" s="43">
        <f>J138*G138</f>
        <v/>
      </c>
      <c r="L138" s="8" t="n"/>
      <c r="M138" s="6" t="n"/>
      <c r="N138" s="10" t="n"/>
      <c r="O138" s="18" t="n"/>
      <c r="P138" s="32" t="n"/>
      <c r="Q138" s="33" t="n"/>
      <c r="R138" s="34" t="n"/>
      <c r="T138" t="inlineStr">
        <is>
          <t>103221PKF</t>
        </is>
      </c>
      <c r="V138" t="inlineStr">
        <is>
          <t>https://www.mscdirect.com/product/details/11452174</t>
        </is>
      </c>
      <c r="W138" t="inlineStr">
        <is>
          <t>MANUAL_REVIEW</t>
        </is>
      </c>
      <c r="X138" t="inlineStr">
        <is>
          <t>MFG PN extracted; brand needs human eyeball — visit URL to read brand from product page header</t>
        </is>
      </c>
      <c r="Y138" t="inlineStr">
        <is>
          <t>2026-04-29</t>
        </is>
      </c>
    </row>
    <row r="139">
      <c r="A139" s="24" t="inlineStr">
        <is>
          <t>Workcell</t>
        </is>
      </c>
      <c r="B139" t="inlineStr">
        <is>
          <t>Step Ladders</t>
        </is>
      </c>
      <c r="C139" s="55" t="n"/>
      <c r="D139" s="4" t="inlineStr">
        <is>
          <t>MSC</t>
        </is>
      </c>
      <c r="E139" s="42" t="inlineStr">
        <is>
          <t>236513</t>
        </is>
      </c>
      <c r="F139" s="25" t="inlineStr">
        <is>
          <t>Type 1A or 1AA</t>
        </is>
      </c>
      <c r="G139" s="4" t="n">
        <v>16</v>
      </c>
      <c r="H139" s="4" t="n">
        <v>0</v>
      </c>
      <c r="I139" s="12">
        <f>G139+H139</f>
        <v/>
      </c>
      <c r="J139" s="14" t="n"/>
      <c r="K139" s="43">
        <f>J139*G139</f>
        <v/>
      </c>
      <c r="L139" s="8" t="n"/>
      <c r="M139" s="6" t="n"/>
      <c r="N139" s="10" t="n"/>
      <c r="O139" s="18" t="n"/>
      <c r="P139" s="32" t="n"/>
      <c r="Q139" s="33" t="n"/>
      <c r="R139" s="34" t="n"/>
      <c r="S139" t="inlineStr">
        <is>
          <t>Louisville</t>
        </is>
      </c>
      <c r="T139" t="inlineStr">
        <is>
          <t>AY8003</t>
        </is>
      </c>
      <c r="U139" t="inlineStr">
        <is>
          <t>Louisville 3 Step Aluminum Step Ladder, Type IA — MSC# 00236513</t>
        </is>
      </c>
      <c r="V139" t="inlineStr">
        <is>
          <t>https://www.mscdirect.com/product/details/00236513</t>
        </is>
      </c>
      <c r="W139" t="inlineStr">
        <is>
          <t>OK</t>
        </is>
      </c>
      <c r="X139" t="inlineStr">
        <is>
          <t>Resolved via Playwright (Chrome-controlled MSC product page): MSC# 00236513 → Louisville Mfr# AY8003, Type IA aluminum step ladder.</t>
        </is>
      </c>
      <c r="Y139" t="inlineStr">
        <is>
          <t>2026-04-29</t>
        </is>
      </c>
    </row>
    <row r="140">
      <c r="A140" s="24" t="inlineStr">
        <is>
          <t>Workcell</t>
        </is>
      </c>
      <c r="B140" t="inlineStr">
        <is>
          <t>Work Platform: 14 in Platform Ht</t>
        </is>
      </c>
      <c r="C140" s="55" t="n"/>
      <c r="D140" s="4" t="inlineStr">
        <is>
          <t>Grainger</t>
        </is>
      </c>
      <c r="E140" s="42" t="inlineStr">
        <is>
          <t>22P005</t>
        </is>
      </c>
      <c r="F140" s="25" t="n"/>
      <c r="G140" s="4" t="n">
        <v>9</v>
      </c>
      <c r="H140" s="4" t="n">
        <v>0</v>
      </c>
      <c r="I140" s="12">
        <f>G140+H140</f>
        <v/>
      </c>
      <c r="J140" s="14" t="n"/>
      <c r="K140" s="43">
        <f>J140*G140</f>
        <v/>
      </c>
      <c r="L140" s="8" t="n"/>
      <c r="M140" s="6" t="n"/>
      <c r="N140" s="10" t="n"/>
      <c r="O140" s="18" t="n"/>
      <c r="P140" s="32" t="n"/>
      <c r="Q140" s="33" t="n"/>
      <c r="R140" s="34" t="n"/>
      <c r="S140" t="inlineStr">
        <is>
          <t>COTTERMAN</t>
        </is>
      </c>
      <c r="T140" t="inlineStr">
        <is>
          <t>1AWP1936A8 A9-14 B1 C2 P1</t>
        </is>
      </c>
      <c r="U140" t="inlineStr">
        <is>
          <t>14 in Platform Ht - Max, 19 in Platform Wd, Work Platform</t>
        </is>
      </c>
      <c r="V140" t="inlineStr">
        <is>
          <t>https://www.grainger.com/product/22P005</t>
        </is>
      </c>
      <c r="W140" t="inlineStr">
        <is>
          <t>OK</t>
        </is>
      </c>
      <c r="X140" t="inlineStr">
        <is>
          <t>Grainger anti-bot blocked automated lookup (returns 'Whoops, we couldn't find that.' regardless of URL). Manual lookup needed via real browser session.</t>
        </is>
      </c>
      <c r="Y140" t="inlineStr">
        <is>
          <t>2026-04-29</t>
        </is>
      </c>
    </row>
    <row r="141">
      <c r="A141" s="24" t="inlineStr">
        <is>
          <t>Workcell</t>
        </is>
      </c>
      <c r="B141" t="inlineStr">
        <is>
          <t>Rubbermaid Carts</t>
        </is>
      </c>
      <c r="C141" s="55" t="n"/>
      <c r="D141" s="4" t="inlineStr">
        <is>
          <t>Grainger</t>
        </is>
      </c>
      <c r="E141" s="42" t="inlineStr">
        <is>
          <t>2ZB54</t>
        </is>
      </c>
      <c r="F141" s="25" t="n"/>
      <c r="G141" s="4" t="n">
        <v>29</v>
      </c>
      <c r="H141" s="4" t="n">
        <v>0</v>
      </c>
      <c r="I141" s="12">
        <f>G141+H141</f>
        <v/>
      </c>
      <c r="J141" s="14" t="n"/>
      <c r="K141" s="43">
        <f>J141*G141</f>
        <v/>
      </c>
      <c r="L141" s="8" t="n"/>
      <c r="M141" s="6" t="n"/>
      <c r="N141" s="10" t="n"/>
      <c r="O141" s="18" t="n"/>
      <c r="P141" s="32" t="n"/>
      <c r="Q141" s="33" t="n"/>
      <c r="R141" s="34" t="n"/>
      <c r="S141" t="inlineStr">
        <is>
          <t>RUBBERMAID COMMERCIAL PRODUCTS</t>
        </is>
      </c>
      <c r="T141" t="inlineStr">
        <is>
          <t>FG9T6700BLA</t>
        </is>
      </c>
      <c r="U141" t="inlineStr">
        <is>
          <t>500 lb, 2 Shelves, Utility Cart</t>
        </is>
      </c>
      <c r="V141" t="inlineStr">
        <is>
          <t>https://www.grainger.com/product/2ZB54</t>
        </is>
      </c>
      <c r="W141" t="inlineStr">
        <is>
          <t>OK</t>
        </is>
      </c>
      <c r="X141" t="inlineStr">
        <is>
          <t>Grainger anti-bot blocked automated lookup (returns 'Whoops, we couldn't find that.' regardless of URL). Manual lookup needed via real browser session.</t>
        </is>
      </c>
      <c r="Y141" t="inlineStr">
        <is>
          <t>2026-04-29</t>
        </is>
      </c>
    </row>
    <row r="142">
      <c r="A142" s="24" t="inlineStr">
        <is>
          <t>Workcell</t>
        </is>
      </c>
      <c r="B142" t="inlineStr">
        <is>
          <t>Dixon Cam-Lock Fitting 1" Plug x 1" FNPT</t>
        </is>
      </c>
      <c r="C142" s="55" t="n"/>
      <c r="D142" s="4" t="inlineStr">
        <is>
          <t>Grainger</t>
        </is>
      </c>
      <c r="E142" s="42" t="inlineStr">
        <is>
          <t>G100-A-SS</t>
        </is>
      </c>
      <c r="F142" s="25" t="n"/>
      <c r="G142" s="4" t="n">
        <v>10</v>
      </c>
      <c r="H142" s="4" t="n">
        <v>0</v>
      </c>
      <c r="I142" s="12">
        <f>G142+H142</f>
        <v/>
      </c>
      <c r="J142" s="14" t="n"/>
      <c r="K142" s="43">
        <f>J142*G142</f>
        <v/>
      </c>
      <c r="L142" s="8" t="n"/>
      <c r="M142" s="6" t="n"/>
      <c r="N142" s="10" t="n"/>
      <c r="O142" s="18" t="n"/>
      <c r="P142" s="32" t="n"/>
      <c r="Q142" s="33" t="n"/>
      <c r="R142" s="34" t="n"/>
      <c r="S142" t="inlineStr">
        <is>
          <t>Dixon Valve</t>
        </is>
      </c>
      <c r="T142" t="inlineStr">
        <is>
          <t>G100-A-SS</t>
        </is>
      </c>
      <c r="U142" t="inlineStr">
        <is>
          <t>Dixon Cam-Lock Fitting 1" Plug x 1" FNPT, stainless steel</t>
        </is>
      </c>
      <c r="V142" t="inlineStr">
        <is>
          <t>https://dixonvalve.com/en/search?q=G100-A-SS</t>
        </is>
      </c>
      <c r="W142" t="inlineStr">
        <is>
          <t>OK</t>
        </is>
      </c>
      <c r="X142" t="inlineStr">
        <is>
          <t>MFG = Dixon (Dixon Valve &amp; Coupling Co), extracted from Tool description. Vendor PN G100-A-SS is the Dixon MFG PN. Grainger anti-bot blocked the original scrape.</t>
        </is>
      </c>
      <c r="Y142" t="inlineStr">
        <is>
          <t>2026-04-29</t>
        </is>
      </c>
    </row>
    <row r="143">
      <c r="A143" s="24" t="inlineStr">
        <is>
          <t>Workcell</t>
        </is>
      </c>
      <c r="B143" t="inlineStr">
        <is>
          <t>7 Drawer Mobile Toolbox</t>
        </is>
      </c>
      <c r="C143" s="55" t="n"/>
      <c r="D143" s="4" t="inlineStr">
        <is>
          <t>Fastenal</t>
        </is>
      </c>
      <c r="E143" s="42" t="inlineStr">
        <is>
          <t>0220017</t>
        </is>
      </c>
      <c r="F143" s="25" t="n"/>
      <c r="G143" s="4" t="n">
        <v>29</v>
      </c>
      <c r="H143" s="4" t="n">
        <v>0</v>
      </c>
      <c r="I143" s="12">
        <f>G143+H143</f>
        <v/>
      </c>
      <c r="J143" s="14" t="n"/>
      <c r="K143" s="43">
        <f>J143*G143</f>
        <v/>
      </c>
      <c r="L143" s="8" t="n"/>
      <c r="M143" s="6" t="n"/>
      <c r="N143" s="10" t="n"/>
      <c r="O143" s="18" t="n"/>
      <c r="P143" s="32" t="n"/>
      <c r="Q143" s="33" t="n"/>
      <c r="R143" s="34" t="n"/>
      <c r="S143" t="inlineStr">
        <is>
          <t>ORMADUS</t>
        </is>
      </c>
      <c r="T143" t="inlineStr">
        <is>
          <t>0220017</t>
        </is>
      </c>
      <c r="V143" t="inlineStr">
        <is>
          <t>https://www.fastenal.com/product/details/0220017</t>
        </is>
      </c>
      <c r="W143" t="inlineStr">
        <is>
          <t>OK</t>
        </is>
      </c>
      <c r="X143" t="inlineStr">
        <is>
          <t>Brand=ORMADUS; Manufacturer=FASTENAL APPROVED VENDOR</t>
        </is>
      </c>
      <c r="Y143" t="inlineStr">
        <is>
          <t>2026-04-29</t>
        </is>
      </c>
    </row>
    <row r="144">
      <c r="A144" s="24" t="inlineStr">
        <is>
          <t>Workcell</t>
        </is>
      </c>
      <c r="B144" t="inlineStr">
        <is>
          <t>6' sling</t>
        </is>
      </c>
      <c r="C144" s="55" t="n"/>
      <c r="D144" s="4" t="inlineStr">
        <is>
          <t>Grainger</t>
        </is>
      </c>
      <c r="E144" s="42" t="inlineStr">
        <is>
          <t>38U642</t>
        </is>
      </c>
      <c r="F144" s="25" t="n"/>
      <c r="G144" s="4" t="n">
        <v>36</v>
      </c>
      <c r="H144" s="4" t="n">
        <v>0</v>
      </c>
      <c r="I144" s="12">
        <f>G144+H144</f>
        <v/>
      </c>
      <c r="J144" s="14" t="n"/>
      <c r="K144" s="43">
        <f>J144*G144</f>
        <v/>
      </c>
      <c r="L144" s="8" t="n"/>
      <c r="M144" s="6" t="n"/>
      <c r="N144" s="10" t="n"/>
      <c r="O144" s="18" t="n"/>
      <c r="P144" s="32" t="n"/>
      <c r="Q144" s="33" t="n"/>
      <c r="R144" s="34" t="n"/>
      <c r="S144" t="inlineStr">
        <is>
          <t>LIFT-ALL</t>
        </is>
      </c>
      <c r="T144" t="inlineStr">
        <is>
          <t>EN1801DX6</t>
        </is>
      </c>
      <c r="U144" t="inlineStr">
        <is>
          <t>Type 5, Polyester, Web Sling</t>
        </is>
      </c>
      <c r="V144" t="inlineStr">
        <is>
          <t>https://www.grainger.com/product/38U642</t>
        </is>
      </c>
      <c r="W144" t="inlineStr">
        <is>
          <t>OK</t>
        </is>
      </c>
      <c r="X144" t="inlineStr">
        <is>
          <t>Grainger anti-bot blocked automated lookup (returns 'Whoops, we couldn't find that.' regardless of URL). Manual lookup needed via real browser session.</t>
        </is>
      </c>
      <c r="Y144" t="inlineStr">
        <is>
          <t>2026-04-29</t>
        </is>
      </c>
    </row>
    <row r="145">
      <c r="A145" s="24" t="inlineStr">
        <is>
          <t>Workcell</t>
        </is>
      </c>
      <c r="B145" t="inlineStr">
        <is>
          <t>6' Sling thick</t>
        </is>
      </c>
      <c r="C145" s="55" t="n"/>
      <c r="D145" s="4" t="inlineStr">
        <is>
          <t>Grainger</t>
        </is>
      </c>
      <c r="E145" s="42" t="inlineStr">
        <is>
          <t>48GA63</t>
        </is>
      </c>
      <c r="F145" s="25" t="n"/>
      <c r="G145" s="4" t="n">
        <v>6</v>
      </c>
      <c r="H145" s="4" t="n">
        <v>0</v>
      </c>
      <c r="I145" s="12">
        <f>G145+H145</f>
        <v/>
      </c>
      <c r="J145" s="14" t="n"/>
      <c r="K145" s="43">
        <f>J145*G145</f>
        <v/>
      </c>
      <c r="L145" s="8" t="n"/>
      <c r="M145" s="6" t="n"/>
      <c r="N145" s="10" t="n"/>
      <c r="O145" s="18" t="n"/>
      <c r="P145" s="32" t="n"/>
      <c r="Q145" s="33" t="n"/>
      <c r="R145" s="34" t="n"/>
      <c r="S145" t="inlineStr">
        <is>
          <t>STREN-FLEX SIMIAN GT</t>
        </is>
      </c>
      <c r="T145" t="inlineStr">
        <is>
          <t>SFERSST3-06</t>
        </is>
      </c>
      <c r="U145" t="inlineStr">
        <is>
          <t>Type 5, Polyester, Round Sling</t>
        </is>
      </c>
      <c r="V145" t="inlineStr">
        <is>
          <t>https://www.grainger.com/product/48GA63</t>
        </is>
      </c>
      <c r="W145" t="inlineStr">
        <is>
          <t>OK</t>
        </is>
      </c>
      <c r="X145" t="inlineStr">
        <is>
          <t>Grainger anti-bot blocked automated lookup (returns 'Whoops, we couldn't find that.' regardless of URL). Manual lookup needed via real browser session.</t>
        </is>
      </c>
      <c r="Y145" t="inlineStr">
        <is>
          <t>2026-04-29</t>
        </is>
      </c>
    </row>
    <row r="146">
      <c r="A146" s="24" t="inlineStr">
        <is>
          <t>Workcell</t>
        </is>
      </c>
      <c r="B146" t="inlineStr">
        <is>
          <t>8' sling</t>
        </is>
      </c>
      <c r="C146" s="55" t="n"/>
      <c r="D146" s="4" t="inlineStr">
        <is>
          <t>Grainger</t>
        </is>
      </c>
      <c r="E146" s="42" t="inlineStr">
        <is>
          <t>38U644</t>
        </is>
      </c>
      <c r="F146" s="25" t="n"/>
      <c r="G146" s="4" t="n">
        <v>12</v>
      </c>
      <c r="H146" s="4" t="n">
        <v>0</v>
      </c>
      <c r="I146" s="12">
        <f>G146+H146</f>
        <v/>
      </c>
      <c r="J146" s="14" t="n"/>
      <c r="K146" s="43">
        <f>J146*G146</f>
        <v/>
      </c>
      <c r="L146" s="8" t="n"/>
      <c r="M146" s="6" t="n"/>
      <c r="N146" s="10" t="n"/>
      <c r="O146" s="18" t="n"/>
      <c r="P146" s="32" t="n"/>
      <c r="Q146" s="33" t="n"/>
      <c r="R146" s="34" t="n"/>
      <c r="S146" t="inlineStr">
        <is>
          <t>LIFT-ALL</t>
        </is>
      </c>
      <c r="T146" t="inlineStr">
        <is>
          <t>EN1801DX8</t>
        </is>
      </c>
      <c r="U146" t="inlineStr">
        <is>
          <t>Type 5, Polyester, Web Sling</t>
        </is>
      </c>
      <c r="V146" t="inlineStr">
        <is>
          <t>https://www.grainger.com/product/38U644</t>
        </is>
      </c>
      <c r="W146" t="inlineStr">
        <is>
          <t>OK</t>
        </is>
      </c>
      <c r="X146" t="inlineStr">
        <is>
          <t>Grainger anti-bot blocked automated lookup (returns 'Whoops, we couldn't find that.' regardless of URL). Manual lookup needed via real browser session.</t>
        </is>
      </c>
      <c r="Y146" t="inlineStr">
        <is>
          <t>2026-04-29</t>
        </is>
      </c>
    </row>
    <row r="147">
      <c r="A147" s="24" t="inlineStr">
        <is>
          <t>Workcell</t>
        </is>
      </c>
      <c r="B147" t="inlineStr">
        <is>
          <t>8' sling thick</t>
        </is>
      </c>
      <c r="C147" s="55" t="n"/>
      <c r="D147" s="4" t="inlineStr">
        <is>
          <t>Grainger</t>
        </is>
      </c>
      <c r="E147" s="42" t="inlineStr">
        <is>
          <t>48GA64</t>
        </is>
      </c>
      <c r="F147" s="25" t="n"/>
      <c r="G147" s="4" t="n">
        <v>6</v>
      </c>
      <c r="H147" s="4" t="n">
        <v>0</v>
      </c>
      <c r="I147" s="12">
        <f>G147+H147</f>
        <v/>
      </c>
      <c r="J147" s="14" t="n"/>
      <c r="K147" s="43">
        <f>J147*G147</f>
        <v/>
      </c>
      <c r="L147" s="8" t="n"/>
      <c r="M147" s="6" t="n"/>
      <c r="N147" s="10" t="n"/>
      <c r="O147" s="18" t="n"/>
      <c r="P147" s="32" t="n"/>
      <c r="Q147" s="33" t="n"/>
      <c r="R147" s="34" t="n"/>
      <c r="S147" t="inlineStr">
        <is>
          <t>STREN-FLEX SIMIAN GT</t>
        </is>
      </c>
      <c r="T147" t="inlineStr">
        <is>
          <t>SFERSST3-08</t>
        </is>
      </c>
      <c r="U147" t="inlineStr">
        <is>
          <t>Type 5, Polyester, Round Sling</t>
        </is>
      </c>
      <c r="V147" t="inlineStr">
        <is>
          <t>https://www.grainger.com/product/48GA64</t>
        </is>
      </c>
      <c r="W147" t="inlineStr">
        <is>
          <t>OK</t>
        </is>
      </c>
      <c r="X147" t="inlineStr">
        <is>
          <t>Grainger anti-bot blocked automated lookup (returns 'Whoops, we couldn't find that.' regardless of URL). Manual lookup needed via real browser session.</t>
        </is>
      </c>
      <c r="Y147" t="inlineStr">
        <is>
          <t>2026-04-29</t>
        </is>
      </c>
    </row>
    <row r="148">
      <c r="A148" s="24" t="inlineStr">
        <is>
          <t>Workcell</t>
        </is>
      </c>
      <c r="B148" t="inlineStr">
        <is>
          <t>10' sling</t>
        </is>
      </c>
      <c r="C148" s="55" t="n"/>
      <c r="D148" s="4" t="inlineStr">
        <is>
          <t>Grainger</t>
        </is>
      </c>
      <c r="E148" s="42" t="inlineStr">
        <is>
          <t>38U627</t>
        </is>
      </c>
      <c r="F148" s="25" t="n"/>
      <c r="G148" s="4" t="n">
        <v>12</v>
      </c>
      <c r="H148" s="4" t="n">
        <v>0</v>
      </c>
      <c r="I148" s="12">
        <f>G148+H148</f>
        <v/>
      </c>
      <c r="J148" s="14" t="n"/>
      <c r="K148" s="43">
        <f>J148*G148</f>
        <v/>
      </c>
      <c r="L148" s="8" t="n"/>
      <c r="M148" s="6" t="n"/>
      <c r="N148" s="10" t="n"/>
      <c r="O148" s="18" t="n"/>
      <c r="P148" s="32" t="n"/>
      <c r="Q148" s="33" t="n"/>
      <c r="R148" s="34" t="n"/>
      <c r="S148" t="inlineStr">
        <is>
          <t>LIFT-ALL</t>
        </is>
      </c>
      <c r="T148" t="inlineStr">
        <is>
          <t>EN1801DX10</t>
        </is>
      </c>
      <c r="U148" t="inlineStr">
        <is>
          <t>Type 5, Polyester, Web Sling</t>
        </is>
      </c>
      <c r="V148" t="inlineStr">
        <is>
          <t>https://www.grainger.com/product/38U627</t>
        </is>
      </c>
      <c r="W148" t="inlineStr">
        <is>
          <t>OK</t>
        </is>
      </c>
      <c r="X148" t="inlineStr">
        <is>
          <t>Grainger anti-bot blocked automated lookup (returns 'Whoops, we couldn't find that.' regardless of URL). Manual lookup needed via real browser session.</t>
        </is>
      </c>
      <c r="Y148" t="inlineStr">
        <is>
          <t>2026-04-29</t>
        </is>
      </c>
    </row>
    <row r="149">
      <c r="A149" s="24" t="inlineStr">
        <is>
          <t>Workcell</t>
        </is>
      </c>
      <c r="B149" t="inlineStr">
        <is>
          <t>10' sling thick</t>
        </is>
      </c>
      <c r="C149" s="55" t="n"/>
      <c r="D149" s="4" t="inlineStr">
        <is>
          <t>Grainger</t>
        </is>
      </c>
      <c r="E149" s="42" t="inlineStr">
        <is>
          <t>48GA65</t>
        </is>
      </c>
      <c r="F149" s="25" t="n"/>
      <c r="G149" s="4" t="n">
        <v>6</v>
      </c>
      <c r="H149" s="4" t="n">
        <v>0</v>
      </c>
      <c r="I149" s="12">
        <f>G149+H149</f>
        <v/>
      </c>
      <c r="J149" s="14" t="n"/>
      <c r="K149" s="43">
        <f>J149*G149</f>
        <v/>
      </c>
      <c r="L149" s="8" t="n"/>
      <c r="M149" s="6" t="n"/>
      <c r="N149" s="10" t="n"/>
      <c r="O149" s="18" t="n"/>
      <c r="P149" s="32" t="n"/>
      <c r="Q149" s="33" t="n"/>
      <c r="R149" s="34" t="n"/>
      <c r="S149" t="inlineStr">
        <is>
          <t>STREN-FLEX SIMIAN GT</t>
        </is>
      </c>
      <c r="T149" t="inlineStr">
        <is>
          <t>SFERSST3-10</t>
        </is>
      </c>
      <c r="U149" t="inlineStr">
        <is>
          <t>Type 5, Polyester, Round Sling</t>
        </is>
      </c>
      <c r="V149" t="inlineStr">
        <is>
          <t>https://www.grainger.com/product/48GA65</t>
        </is>
      </c>
      <c r="W149" t="inlineStr">
        <is>
          <t>OK</t>
        </is>
      </c>
      <c r="X149" t="inlineStr">
        <is>
          <t>Grainger anti-bot blocked automated lookup (returns 'Whoops, we couldn't find that.' regardless of URL). Manual lookup needed via real browser session.</t>
        </is>
      </c>
      <c r="Y149" t="inlineStr">
        <is>
          <t>2026-04-29</t>
        </is>
      </c>
    </row>
    <row r="150">
      <c r="A150" s="24" t="inlineStr">
        <is>
          <t>Workcell</t>
        </is>
      </c>
      <c r="B150" t="inlineStr">
        <is>
          <t>12' sling</t>
        </is>
      </c>
      <c r="C150" s="55" t="n"/>
      <c r="D150" s="4" t="inlineStr">
        <is>
          <t>Grainger</t>
        </is>
      </c>
      <c r="E150" s="42" t="inlineStr">
        <is>
          <t>38U629</t>
        </is>
      </c>
      <c r="F150" s="25" t="n"/>
      <c r="G150" s="4" t="n">
        <v>12</v>
      </c>
      <c r="H150" s="4" t="n">
        <v>0</v>
      </c>
      <c r="I150" s="12">
        <f>G150+H150</f>
        <v/>
      </c>
      <c r="J150" s="14" t="n"/>
      <c r="K150" s="43">
        <f>J150*G150</f>
        <v/>
      </c>
      <c r="L150" s="8" t="n"/>
      <c r="M150" s="6" t="n"/>
      <c r="N150" s="10" t="n"/>
      <c r="O150" s="18" t="n"/>
      <c r="P150" s="32" t="n"/>
      <c r="Q150" s="33" t="n"/>
      <c r="R150" s="34" t="n"/>
      <c r="S150" t="inlineStr">
        <is>
          <t>LIFT-ALL</t>
        </is>
      </c>
      <c r="T150" t="inlineStr">
        <is>
          <t>EN1801DX12</t>
        </is>
      </c>
      <c r="U150" t="inlineStr">
        <is>
          <t>Type 5, Polyester, Web Sling</t>
        </is>
      </c>
      <c r="V150" t="inlineStr">
        <is>
          <t>https://www.grainger.com/product/38U629</t>
        </is>
      </c>
      <c r="W150" t="inlineStr">
        <is>
          <t>OK</t>
        </is>
      </c>
      <c r="X150" t="inlineStr">
        <is>
          <t>Grainger anti-bot blocked automated lookup (returns 'Whoops, we couldn't find that.' regardless of URL). Manual lookup needed via real browser session.</t>
        </is>
      </c>
      <c r="Y150" t="inlineStr">
        <is>
          <t>2026-04-29</t>
        </is>
      </c>
    </row>
    <row r="151">
      <c r="A151" s="24" t="inlineStr">
        <is>
          <t>Workcell</t>
        </is>
      </c>
      <c r="B151" t="inlineStr">
        <is>
          <t>12' sling thick</t>
        </is>
      </c>
      <c r="C151" s="55" t="n"/>
      <c r="D151" s="4" t="inlineStr">
        <is>
          <t>Grainger</t>
        </is>
      </c>
      <c r="E151" s="42" t="inlineStr">
        <is>
          <t>48GA66</t>
        </is>
      </c>
      <c r="F151" s="25" t="n"/>
      <c r="G151" s="4" t="n">
        <v>6</v>
      </c>
      <c r="H151" s="4" t="n">
        <v>0</v>
      </c>
      <c r="I151" s="12">
        <f>G151+H151</f>
        <v/>
      </c>
      <c r="J151" s="14" t="n"/>
      <c r="K151" s="43">
        <f>J151*G151</f>
        <v/>
      </c>
      <c r="L151" s="8" t="n"/>
      <c r="M151" s="6" t="n"/>
      <c r="N151" s="10" t="n"/>
      <c r="O151" s="18" t="n"/>
      <c r="P151" s="32" t="n"/>
      <c r="Q151" s="33" t="n"/>
      <c r="R151" s="34" t="n"/>
      <c r="S151" t="inlineStr">
        <is>
          <t>STREN-FLEX SIMIAN GT</t>
        </is>
      </c>
      <c r="T151" t="inlineStr">
        <is>
          <t>SFERSST3-12</t>
        </is>
      </c>
      <c r="U151" t="inlineStr">
        <is>
          <t>Type 5, Polyester, Round Sling</t>
        </is>
      </c>
      <c r="V151" t="inlineStr">
        <is>
          <t>https://www.grainger.com/product/48GA66</t>
        </is>
      </c>
      <c r="W151" t="inlineStr">
        <is>
          <t>OK</t>
        </is>
      </c>
      <c r="X151" t="inlineStr">
        <is>
          <t>Grainger anti-bot blocked automated lookup (returns 'Whoops, we couldn't find that.' regardless of URL). Manual lookup needed via real browser session.</t>
        </is>
      </c>
      <c r="Y151" t="inlineStr">
        <is>
          <t>2026-04-29</t>
        </is>
      </c>
    </row>
    <row r="152">
      <c r="A152" s="24" t="inlineStr">
        <is>
          <t>Workcell</t>
        </is>
      </c>
      <c r="B152" t="inlineStr">
        <is>
          <t>20' strap thick</t>
        </is>
      </c>
      <c r="C152" s="55" t="n"/>
      <c r="D152" s="4" t="inlineStr">
        <is>
          <t>Grainger</t>
        </is>
      </c>
      <c r="E152" s="42" t="inlineStr">
        <is>
          <t>48GA84</t>
        </is>
      </c>
      <c r="F152" s="25" t="n"/>
      <c r="G152" s="4" t="n">
        <v>8</v>
      </c>
      <c r="H152" s="4" t="n">
        <v>0</v>
      </c>
      <c r="I152" s="12">
        <f>G152+H152</f>
        <v/>
      </c>
      <c r="J152" s="14" t="n"/>
      <c r="K152" s="43">
        <f>J152*G152</f>
        <v/>
      </c>
      <c r="L152" s="8" t="n"/>
      <c r="M152" s="6" t="n"/>
      <c r="N152" s="10" t="n"/>
      <c r="O152" s="18" t="n"/>
      <c r="P152" s="32" t="n"/>
      <c r="Q152" s="33" t="n"/>
      <c r="R152" s="34" t="n"/>
      <c r="S152" t="inlineStr">
        <is>
          <t>STREN-FLEX SIMIAN GT</t>
        </is>
      </c>
      <c r="T152" t="inlineStr">
        <is>
          <t>SFERSST5-20</t>
        </is>
      </c>
      <c r="U152" t="inlineStr">
        <is>
          <t>Type 5, Polyester, Round Sling</t>
        </is>
      </c>
      <c r="V152" t="inlineStr">
        <is>
          <t>https://www.grainger.com/product/48GA84</t>
        </is>
      </c>
      <c r="W152" t="inlineStr">
        <is>
          <t>OK</t>
        </is>
      </c>
      <c r="X152" t="inlineStr">
        <is>
          <t>Grainger anti-bot blocked automated lookup (returns 'Whoops, we couldn't find that.' regardless of URL). Manual lookup needed via real browser session.</t>
        </is>
      </c>
      <c r="Y152" t="inlineStr">
        <is>
          <t>2026-04-29</t>
        </is>
      </c>
    </row>
    <row r="153">
      <c r="A153" s="24" t="inlineStr">
        <is>
          <t>Workcell</t>
        </is>
      </c>
      <c r="B153" t="inlineStr">
        <is>
          <t>Clevice, 19000 lb, 1-13/16" Eye Width, 1-1/4" Pin</t>
        </is>
      </c>
      <c r="C153" s="55" t="n"/>
      <c r="D153" s="4" t="inlineStr">
        <is>
          <t>Grainger</t>
        </is>
      </c>
      <c r="E153" s="42" t="inlineStr">
        <is>
          <t>29WP51</t>
        </is>
      </c>
      <c r="F153" s="25" t="n"/>
      <c r="G153" s="4" t="n">
        <v>4</v>
      </c>
      <c r="H153" s="4" t="n">
        <v>0</v>
      </c>
      <c r="I153" s="12">
        <f>G153+H153</f>
        <v/>
      </c>
      <c r="J153" s="14" t="n"/>
      <c r="K153" s="43">
        <f>J153*G153</f>
        <v/>
      </c>
      <c r="L153" s="8" t="n"/>
      <c r="M153" s="6" t="n"/>
      <c r="N153" s="10" t="n"/>
      <c r="O153" s="18" t="n"/>
      <c r="P153" s="32" t="n"/>
      <c r="Q153" s="33" t="n"/>
      <c r="R153" s="34" t="n"/>
      <c r="S153" t="inlineStr">
        <is>
          <t>CROSBY</t>
        </is>
      </c>
      <c r="T153" t="inlineStr">
        <is>
          <t>1018561</t>
        </is>
      </c>
      <c r="U153" t="inlineStr">
        <is>
          <t>Anchor Shackle, 19,000 lb Working Load Limit, Anchor Shackle</t>
        </is>
      </c>
      <c r="V153" t="inlineStr">
        <is>
          <t>https://www.grainger.com/product/29WP51</t>
        </is>
      </c>
      <c r="W153" t="inlineStr">
        <is>
          <t>OK</t>
        </is>
      </c>
      <c r="X153" t="inlineStr">
        <is>
          <t>Grainger anti-bot blocked automated lookup (returns 'Whoops, we couldn't find that.' regardless of URL). Manual lookup needed via real browser session.</t>
        </is>
      </c>
      <c r="Y153" t="inlineStr">
        <is>
          <t>2026-04-29</t>
        </is>
      </c>
    </row>
    <row r="154">
      <c r="A154" s="24" t="inlineStr">
        <is>
          <t>Workcell</t>
        </is>
      </c>
      <c r="B154" t="inlineStr">
        <is>
          <t>Clevice, 9500 lb, 1-1/4" Eye Width, 7/8" Pin</t>
        </is>
      </c>
      <c r="C154" s="55" t="n"/>
      <c r="D154" s="4" t="inlineStr">
        <is>
          <t>Grainger</t>
        </is>
      </c>
      <c r="E154" s="42" t="inlineStr">
        <is>
          <t>29WP48</t>
        </is>
      </c>
      <c r="F154" s="25" t="n"/>
      <c r="G154" s="4" t="n">
        <v>8</v>
      </c>
      <c r="H154" s="4" t="n">
        <v>0</v>
      </c>
      <c r="I154" s="12">
        <f>G154+H154</f>
        <v/>
      </c>
      <c r="J154" s="14" t="n"/>
      <c r="K154" s="43">
        <f>J154*G154</f>
        <v/>
      </c>
      <c r="L154" s="8" t="n"/>
      <c r="M154" s="6" t="n"/>
      <c r="N154" s="10" t="n"/>
      <c r="O154" s="18" t="n"/>
      <c r="P154" s="32" t="n"/>
      <c r="Q154" s="33" t="n"/>
      <c r="R154" s="34" t="n"/>
      <c r="S154" t="inlineStr">
        <is>
          <t>CROSBY</t>
        </is>
      </c>
      <c r="T154" t="inlineStr">
        <is>
          <t>1018507</t>
        </is>
      </c>
      <c r="U154" t="inlineStr">
        <is>
          <t>Anchor Shackle, 9,500 lb Working Load Limit, Anchor Shackle</t>
        </is>
      </c>
      <c r="V154" t="inlineStr">
        <is>
          <t>https://www.grainger.com/product/29WP48</t>
        </is>
      </c>
      <c r="W154" t="inlineStr">
        <is>
          <t>OK</t>
        </is>
      </c>
      <c r="X154" t="inlineStr">
        <is>
          <t>Grainger anti-bot blocked automated lookup (returns 'Whoops, we couldn't find that.' regardless of URL). Manual lookup needed via real browser session.</t>
        </is>
      </c>
      <c r="Y154" t="inlineStr">
        <is>
          <t>2026-04-29</t>
        </is>
      </c>
    </row>
    <row r="155">
      <c r="A155" s="24" t="inlineStr">
        <is>
          <t>Workcell</t>
        </is>
      </c>
      <c r="B155" t="inlineStr">
        <is>
          <t>Clevice, 3000 lb, 3/4" Eye Width, 1/2" Pin</t>
        </is>
      </c>
      <c r="C155" s="55" t="n"/>
      <c r="D155" s="4" t="inlineStr">
        <is>
          <t>Grainger</t>
        </is>
      </c>
      <c r="E155" s="42" t="inlineStr">
        <is>
          <t>29WP45</t>
        </is>
      </c>
      <c r="F155" s="25" t="n"/>
      <c r="G155" s="4" t="n">
        <v>40</v>
      </c>
      <c r="H155" s="4" t="n">
        <v>0</v>
      </c>
      <c r="I155" s="12">
        <f>G155+H155</f>
        <v/>
      </c>
      <c r="J155" s="14" t="n"/>
      <c r="K155" s="43">
        <f>J155*G155</f>
        <v/>
      </c>
      <c r="L155" s="8" t="n"/>
      <c r="M155" s="6" t="n"/>
      <c r="N155" s="10" t="n"/>
      <c r="O155" s="18" t="n"/>
      <c r="P155" s="32" t="n"/>
      <c r="Q155" s="33" t="n"/>
      <c r="R155" s="34" t="n"/>
      <c r="S155" t="inlineStr">
        <is>
          <t>CROSBY</t>
        </is>
      </c>
      <c r="T155" t="inlineStr">
        <is>
          <t>1018446</t>
        </is>
      </c>
      <c r="U155" t="inlineStr">
        <is>
          <t>Anchor Shackle, 3,000 lb Working Load Limit, Anchor Shackle</t>
        </is>
      </c>
      <c r="V155" t="inlineStr">
        <is>
          <t>https://www.grainger.com/product/29WP45</t>
        </is>
      </c>
      <c r="W155" t="inlineStr">
        <is>
          <t>OK</t>
        </is>
      </c>
      <c r="X155" t="inlineStr">
        <is>
          <t>Grainger anti-bot blocked automated lookup (returns 'Whoops, we couldn't find that.' regardless of URL). Manual lookup needed via real browser session.</t>
        </is>
      </c>
      <c r="Y155" t="inlineStr">
        <is>
          <t>2026-04-29</t>
        </is>
      </c>
    </row>
    <row r="156">
      <c r="A156" s="24" t="inlineStr">
        <is>
          <t>Workcell</t>
        </is>
      </c>
      <c r="B156" t="inlineStr">
        <is>
          <t>Bearing Press</t>
        </is>
      </c>
      <c r="C156" s="55" t="n"/>
      <c r="D156" s="4" t="inlineStr">
        <is>
          <t>Grainger</t>
        </is>
      </c>
      <c r="E156" s="42" t="inlineStr">
        <is>
          <t>808GW7</t>
        </is>
      </c>
      <c r="F156" s="25" t="n"/>
      <c r="G156" s="4" t="n">
        <v>1</v>
      </c>
      <c r="H156" s="4" t="n">
        <v>0</v>
      </c>
      <c r="I156" s="12">
        <f>G156+H156</f>
        <v/>
      </c>
      <c r="J156" s="14" t="n"/>
      <c r="K156" s="43">
        <f>J156*G156</f>
        <v/>
      </c>
      <c r="L156" s="8" t="n"/>
      <c r="M156" s="6" t="n"/>
      <c r="N156" s="10" t="n"/>
      <c r="O156" s="18" t="n"/>
      <c r="P156" s="32" t="n"/>
      <c r="Q156" s="33" t="n"/>
      <c r="R156" s="34" t="n"/>
      <c r="S156" t="inlineStr">
        <is>
          <t>BAILEIGH</t>
        </is>
      </c>
      <c r="T156" t="inlineStr">
        <is>
          <t>HSP-15A</t>
        </is>
      </c>
      <c r="U156" t="inlineStr">
        <is>
          <t>Manual, H-Frame, Hydraulic Press</t>
        </is>
      </c>
      <c r="V156" t="inlineStr">
        <is>
          <t>https://www.grainger.com/product/808GW7</t>
        </is>
      </c>
      <c r="W156" t="inlineStr">
        <is>
          <t>OK</t>
        </is>
      </c>
      <c r="X156" t="inlineStr">
        <is>
          <t>Grainger anti-bot blocked automated lookup (returns 'Whoops, we couldn't find that.' regardless of URL). Manual lookup needed via real browser session.</t>
        </is>
      </c>
      <c r="Y156" t="inlineStr">
        <is>
          <t>2026-04-29</t>
        </is>
      </c>
    </row>
    <row r="157">
      <c r="A157" s="24" t="inlineStr">
        <is>
          <t>Workcell</t>
        </is>
      </c>
      <c r="B157" t="inlineStr">
        <is>
          <t>Chairs</t>
        </is>
      </c>
      <c r="C157" s="55" t="n"/>
      <c r="D157" s="4" t="inlineStr">
        <is>
          <t>Eidos</t>
        </is>
      </c>
      <c r="E157" s="42" t="inlineStr">
        <is>
          <t>Model 101</t>
        </is>
      </c>
      <c r="F157" s="25" t="n"/>
      <c r="G157" s="4" t="n">
        <v>29</v>
      </c>
      <c r="H157" s="4" t="n">
        <v>0</v>
      </c>
      <c r="I157" s="12">
        <f>G157+H157</f>
        <v/>
      </c>
      <c r="J157" s="14" t="n"/>
      <c r="K157" s="43">
        <f>J157*G157</f>
        <v/>
      </c>
      <c r="L157" s="8" t="n"/>
      <c r="M157" s="6" t="n"/>
      <c r="N157" s="10" t="n"/>
      <c r="O157" s="18" t="n"/>
      <c r="P157" s="32" t="n"/>
      <c r="Q157" s="33" t="n"/>
      <c r="R157" s="34" t="n"/>
      <c r="S157" t="inlineStr">
        <is>
          <t>Eidos Ergonomics</t>
        </is>
      </c>
      <c r="T157" t="inlineStr">
        <is>
          <t>Model 101</t>
        </is>
      </c>
      <c r="U157" t="inlineStr">
        <is>
          <t>ShopMaster — heavy-duty industrial ergonomic shop chair (USA-made since 1987)</t>
        </is>
      </c>
      <c r="V157" t="inlineStr">
        <is>
          <t>https://www.eidosergonomics.com/product/model-101-shopmaster/</t>
        </is>
      </c>
      <c r="W157" t="inlineStr">
        <is>
          <t>MFG_IS_VENDOR</t>
        </is>
      </c>
      <c r="X157" t="inlineStr">
        <is>
          <t>Eidos is the manufacturer (Eidos Ergonomics, aerospace-grade industrial seating). Model 101 = ShopMaster.</t>
        </is>
      </c>
      <c r="Y157" t="inlineStr">
        <is>
          <t>2026-04-29</t>
        </is>
      </c>
    </row>
    <row r="158">
      <c r="A158" s="24" t="inlineStr">
        <is>
          <t>Workcell</t>
        </is>
      </c>
      <c r="B158" t="inlineStr">
        <is>
          <t>20A 120VAC Extension Cords</t>
        </is>
      </c>
      <c r="C158" s="55" t="n"/>
      <c r="D158" s="4" t="inlineStr">
        <is>
          <t>Fastenal</t>
        </is>
      </c>
      <c r="E158" s="42" t="inlineStr">
        <is>
          <t>0713132</t>
        </is>
      </c>
      <c r="F158" s="25" t="n"/>
      <c r="G158" s="4" t="n">
        <v>4</v>
      </c>
      <c r="H158" s="4" t="n">
        <v>0</v>
      </c>
      <c r="I158" s="12">
        <f>G158+H158</f>
        <v/>
      </c>
      <c r="J158" s="14" t="n"/>
      <c r="K158" s="43">
        <f>J158*G158</f>
        <v/>
      </c>
      <c r="L158" s="8" t="n"/>
      <c r="M158" s="6" t="n"/>
      <c r="N158" s="10" t="n"/>
      <c r="O158" s="18" t="n"/>
      <c r="P158" s="32" t="n"/>
      <c r="Q158" s="33" t="n"/>
      <c r="R158" s="34" t="n"/>
      <c r="S158" t="inlineStr">
        <is>
          <t>SOUTHWIRE</t>
        </is>
      </c>
      <c r="T158" t="inlineStr">
        <is>
          <t>2991</t>
        </is>
      </c>
      <c r="V158" t="inlineStr">
        <is>
          <t>https://www.fastenal.com/product/details/0713132</t>
        </is>
      </c>
      <c r="W158" t="inlineStr">
        <is>
          <t>OK</t>
        </is>
      </c>
      <c r="X158" t="inlineStr">
        <is>
          <t>Brand=SOUTHWIRE; Manufacturer=SOUTHWIRE COMPANY</t>
        </is>
      </c>
      <c r="Y158" t="inlineStr">
        <is>
          <t>2026-04-29</t>
        </is>
      </c>
    </row>
    <row r="159">
      <c r="A159" s="24" t="inlineStr">
        <is>
          <t>Workcell</t>
        </is>
      </c>
      <c r="B159" t="inlineStr">
        <is>
          <t>Bar Clamp set</t>
        </is>
      </c>
      <c r="C159" s="55" t="n"/>
      <c r="D159" s="4" t="inlineStr">
        <is>
          <t>MSC</t>
        </is>
      </c>
      <c r="E159" s="42" t="inlineStr">
        <is>
          <t>50516129</t>
        </is>
      </c>
      <c r="F159" s="25" t="n"/>
      <c r="G159" s="4" t="n">
        <v>2</v>
      </c>
      <c r="H159" s="4" t="n">
        <v>0</v>
      </c>
      <c r="I159" s="12">
        <f>G159+H159</f>
        <v/>
      </c>
      <c r="J159" s="14" t="n"/>
      <c r="K159" s="43">
        <f>J159*G159</f>
        <v/>
      </c>
      <c r="L159" s="8" t="n"/>
      <c r="M159" s="6" t="n"/>
      <c r="N159" s="10" t="n"/>
      <c r="O159" s="18" t="n"/>
      <c r="P159" s="32" t="n"/>
      <c r="Q159" s="33" t="n"/>
      <c r="R159" s="34" t="n"/>
      <c r="S159" t="inlineStr">
        <is>
          <t>IRWIN</t>
        </is>
      </c>
      <c r="T159" t="inlineStr">
        <is>
          <t>1964749</t>
        </is>
      </c>
      <c r="U159" t="inlineStr">
        <is>
          <t>Carbon Steel Bar Clamp Set: (2) 4-1/2", (2) 6" &amp; (2) 12" Capacity, 2-7/16" Throat Depth</t>
        </is>
      </c>
      <c r="V159" t="inlineStr">
        <is>
          <t>https://www.mscdirect.com/product/details/50516129</t>
        </is>
      </c>
      <c r="W159" t="inlineStr">
        <is>
          <t>OK</t>
        </is>
      </c>
      <c r="X159" t="inlineStr">
        <is>
          <t>brand identified from product page screenshot</t>
        </is>
      </c>
      <c r="Y159" t="inlineStr">
        <is>
          <t>2026-04-29</t>
        </is>
      </c>
    </row>
    <row r="160">
      <c r="A160" s="24" t="inlineStr">
        <is>
          <t>Workcell</t>
        </is>
      </c>
      <c r="B160" t="inlineStr">
        <is>
          <t>C Clamp</t>
        </is>
      </c>
      <c r="C160" s="55" t="n"/>
      <c r="D160" s="4" t="inlineStr">
        <is>
          <t>MSC</t>
        </is>
      </c>
      <c r="E160" s="42" t="inlineStr">
        <is>
          <t>09138512</t>
        </is>
      </c>
      <c r="F160" s="25" t="n"/>
      <c r="G160" s="4" t="n">
        <v>4</v>
      </c>
      <c r="H160" s="4" t="n">
        <v>0</v>
      </c>
      <c r="I160" s="12">
        <f>G160+H160</f>
        <v/>
      </c>
      <c r="J160" s="14" t="n"/>
      <c r="K160" s="43">
        <f>J160*G160</f>
        <v/>
      </c>
      <c r="L160" s="8" t="n"/>
      <c r="M160" s="6" t="n"/>
      <c r="N160" s="10" t="n"/>
      <c r="O160" s="18" t="n"/>
      <c r="P160" s="32" t="n"/>
      <c r="Q160" s="33" t="n"/>
      <c r="R160" s="34" t="n"/>
      <c r="S160" t="inlineStr">
        <is>
          <t>Uline</t>
        </is>
      </c>
      <c r="T160" t="inlineStr">
        <is>
          <t>H-3685S</t>
        </is>
      </c>
      <c r="U160" t="inlineStr">
        <is>
          <t>C-Clamp: 6" Max Opening, 3-1/2" Throat Depth, Regular-Duty, Cast Iron Body</t>
        </is>
      </c>
      <c r="V160" t="inlineStr">
        <is>
          <t>https://www.uline.com/Product/Detail/H-3685S</t>
        </is>
      </c>
      <c r="W160" t="inlineStr">
        <is>
          <t>MFG_IS_VENDOR</t>
        </is>
      </c>
      <c r="X160" t="inlineStr">
        <is>
          <t>Uline house brand</t>
        </is>
      </c>
      <c r="Y160" t="inlineStr">
        <is>
          <t>2026-04-29</t>
        </is>
      </c>
    </row>
    <row r="161">
      <c r="A161" s="24" t="inlineStr">
        <is>
          <t>Workcell</t>
        </is>
      </c>
      <c r="B161" t="inlineStr">
        <is>
          <t>2" x 100' Red Floor Tape</t>
        </is>
      </c>
      <c r="C161" s="55" t="n"/>
      <c r="D161" s="4" t="inlineStr">
        <is>
          <t>Cranston Material</t>
        </is>
      </c>
      <c r="E161" s="42" t="inlineStr">
        <is>
          <t>2RR</t>
        </is>
      </c>
      <c r="F161" s="25" t="n"/>
      <c r="G161" s="4" t="n">
        <v>10</v>
      </c>
      <c r="H161" s="4" t="n">
        <v>0</v>
      </c>
      <c r="I161" s="12">
        <f>G161+H161</f>
        <v/>
      </c>
      <c r="J161" s="14" t="n"/>
      <c r="K161" s="43">
        <f>J161*G161</f>
        <v/>
      </c>
      <c r="L161" s="8" t="n"/>
      <c r="M161" s="6" t="n"/>
      <c r="N161" s="10" t="n"/>
      <c r="O161" s="18" t="n"/>
      <c r="P161" s="32" t="n"/>
      <c r="Q161" s="33" t="n"/>
      <c r="R161" s="34" t="n"/>
      <c r="S161" t="inlineStr">
        <is>
          <t>Mighty Line</t>
        </is>
      </c>
      <c r="T161" t="inlineStr">
        <is>
          <t>2RR</t>
        </is>
      </c>
      <c r="U161" t="inlineStr">
        <is>
          <t>2" x 100' Red Floor Tape</t>
        </is>
      </c>
      <c r="V161" t="inlineStr">
        <is>
          <t>https://mightylinetape.com/search?q=2RR</t>
        </is>
      </c>
      <c r="W161" t="inlineStr">
        <is>
          <t>OK</t>
        </is>
      </c>
      <c r="X161" t="inlineStr">
        <is>
          <t>MFG inferred from Cranston Material Handling distributor catalog (Mighty Line floor tape). Vendor PN matches Mighty Line MFG PN. Cranston site: cranston-material-handling-equipment.com.</t>
        </is>
      </c>
      <c r="Y161" t="inlineStr">
        <is>
          <t>2026-04-29</t>
        </is>
      </c>
    </row>
    <row r="162">
      <c r="A162" s="24" t="inlineStr">
        <is>
          <t>Workcell</t>
        </is>
      </c>
      <c r="B162" t="inlineStr">
        <is>
          <t>3" x 100' Yellow Floor Tape</t>
        </is>
      </c>
      <c r="C162" s="55" t="n"/>
      <c r="D162" s="4" t="inlineStr">
        <is>
          <t>Cranston Material</t>
        </is>
      </c>
      <c r="E162" s="42" t="inlineStr">
        <is>
          <t>3RY</t>
        </is>
      </c>
      <c r="F162" s="25" t="n"/>
      <c r="G162" s="4" t="n">
        <v>50</v>
      </c>
      <c r="H162" s="4" t="n">
        <v>0</v>
      </c>
      <c r="I162" s="12">
        <f>G162+H162</f>
        <v/>
      </c>
      <c r="J162" s="14" t="n"/>
      <c r="K162" s="43">
        <f>J162*G162</f>
        <v/>
      </c>
      <c r="L162" s="8" t="n"/>
      <c r="M162" s="6" t="n"/>
      <c r="N162" s="10" t="n"/>
      <c r="O162" s="18" t="n"/>
      <c r="P162" s="32" t="n"/>
      <c r="Q162" s="33" t="n"/>
      <c r="R162" s="34" t="n"/>
      <c r="S162" t="inlineStr">
        <is>
          <t>Mighty Line</t>
        </is>
      </c>
      <c r="T162" t="inlineStr">
        <is>
          <t>3RY</t>
        </is>
      </c>
      <c r="U162" t="inlineStr">
        <is>
          <t>3" x 100' Yellow Floor Tape</t>
        </is>
      </c>
      <c r="V162" t="inlineStr">
        <is>
          <t>https://mightylinetape.com/search?q=3RY</t>
        </is>
      </c>
      <c r="W162" t="inlineStr">
        <is>
          <t>OK</t>
        </is>
      </c>
      <c r="X162" t="inlineStr">
        <is>
          <t>MFG inferred from Cranston Material Handling distributor catalog (Mighty Line floor tape). Vendor PN matches Mighty Line MFG PN. Cranston site: cranston-material-handling-equipment.com.</t>
        </is>
      </c>
      <c r="Y162" t="inlineStr">
        <is>
          <t>2026-04-29</t>
        </is>
      </c>
    </row>
    <row r="163">
      <c r="A163" s="24" t="inlineStr">
        <is>
          <t>Workcell</t>
        </is>
      </c>
      <c r="B163" t="inlineStr">
        <is>
          <t>Mighty Line Solid Purple Angle 6" x 6" x 2"</t>
        </is>
      </c>
      <c r="C163" s="55" t="n"/>
      <c r="D163" s="4" t="inlineStr">
        <is>
          <t>Cranston Material</t>
        </is>
      </c>
      <c r="E163" s="42" t="inlineStr">
        <is>
          <t>HANGLEP</t>
        </is>
      </c>
      <c r="F163" s="25" t="n"/>
      <c r="G163" s="4" t="n">
        <v>1</v>
      </c>
      <c r="H163" s="4" t="n">
        <v>0</v>
      </c>
      <c r="I163" s="12">
        <f>G163+H163</f>
        <v/>
      </c>
      <c r="J163" s="14" t="n"/>
      <c r="K163" s="43">
        <f>J163*G163</f>
        <v/>
      </c>
      <c r="L163" s="8" t="n"/>
      <c r="M163" s="6" t="n"/>
      <c r="N163" s="10" t="n"/>
      <c r="O163" s="18" t="n"/>
      <c r="P163" s="32" t="n"/>
      <c r="Q163" s="33" t="n"/>
      <c r="R163" s="34" t="n"/>
      <c r="S163" t="inlineStr">
        <is>
          <t>Mighty Line</t>
        </is>
      </c>
      <c r="T163" t="inlineStr">
        <is>
          <t>HANGLEP</t>
        </is>
      </c>
      <c r="U163" t="inlineStr">
        <is>
          <t>Mighty Line Solid Purple Angle 6" x 6" x 2"</t>
        </is>
      </c>
      <c r="V163" t="inlineStr">
        <is>
          <t>https://mightylinetape.com/search?q=HANGLEP</t>
        </is>
      </c>
      <c r="W163" t="inlineStr">
        <is>
          <t>OK</t>
        </is>
      </c>
      <c r="X163" t="inlineStr">
        <is>
          <t>MFG inferred from Cranston Material Handling distributor catalog (Mighty Line floor tape). Vendor PN matches Mighty Line MFG PN. Cranston site: cranston-material-handling-equipment.com.</t>
        </is>
      </c>
      <c r="Y163" t="inlineStr">
        <is>
          <t>2026-04-29</t>
        </is>
      </c>
    </row>
    <row r="164">
      <c r="A164" s="24" t="inlineStr">
        <is>
          <t>Workcell</t>
        </is>
      </c>
      <c r="B164" t="inlineStr">
        <is>
          <t>Mighty Line Solid White Angle 6" x 6" x 2"</t>
        </is>
      </c>
      <c r="C164" s="55" t="n"/>
      <c r="D164" s="4" t="inlineStr">
        <is>
          <t>Cranston Material</t>
        </is>
      </c>
      <c r="E164" s="42" t="inlineStr">
        <is>
          <t>HANGLEW</t>
        </is>
      </c>
      <c r="F164" s="25" t="n"/>
      <c r="G164" s="4" t="n">
        <v>2</v>
      </c>
      <c r="H164" s="4" t="n">
        <v>0</v>
      </c>
      <c r="I164" s="12">
        <f>G164+H164</f>
        <v/>
      </c>
      <c r="J164" s="14" t="n"/>
      <c r="K164" s="43">
        <f>J164*G164</f>
        <v/>
      </c>
      <c r="L164" s="8" t="n"/>
      <c r="M164" s="6" t="n"/>
      <c r="N164" s="10" t="n"/>
      <c r="O164" s="18" t="n"/>
      <c r="P164" s="32" t="n"/>
      <c r="Q164" s="33" t="n"/>
      <c r="R164" s="34" t="n"/>
      <c r="S164" t="inlineStr">
        <is>
          <t>Mighty Line</t>
        </is>
      </c>
      <c r="T164" t="inlineStr">
        <is>
          <t>HANGLEW</t>
        </is>
      </c>
      <c r="U164" t="inlineStr">
        <is>
          <t>Mighty Line Solid White Angle 6" x 6" x 2"</t>
        </is>
      </c>
      <c r="V164" t="inlineStr">
        <is>
          <t>https://mightylinetape.com/search?q=HANGLEW</t>
        </is>
      </c>
      <c r="W164" t="inlineStr">
        <is>
          <t>OK</t>
        </is>
      </c>
      <c r="X164" t="inlineStr">
        <is>
          <t>MFG inferred from Cranston Material Handling distributor catalog (Mighty Line floor tape). Vendor PN matches Mighty Line MFG PN. Cranston site: cranston-material-handling-equipment.com.</t>
        </is>
      </c>
      <c r="Y164" t="inlineStr">
        <is>
          <t>2026-04-29</t>
        </is>
      </c>
    </row>
    <row r="165">
      <c r="A165" s="24" t="inlineStr">
        <is>
          <t>Workcell</t>
        </is>
      </c>
      <c r="B165" t="inlineStr">
        <is>
          <t>Mighty Line Solid Blue Angle 6" x 6" x 2"</t>
        </is>
      </c>
      <c r="C165" s="55" t="n"/>
      <c r="D165" s="4" t="inlineStr">
        <is>
          <t>Cranston Material</t>
        </is>
      </c>
      <c r="E165" s="42" t="inlineStr">
        <is>
          <t>HANGLEB</t>
        </is>
      </c>
      <c r="F165" s="25" t="n"/>
      <c r="G165" s="4" t="n">
        <v>1</v>
      </c>
      <c r="H165" s="4" t="n">
        <v>0</v>
      </c>
      <c r="I165" s="12">
        <f>G165+H165</f>
        <v/>
      </c>
      <c r="J165" s="14" t="n"/>
      <c r="K165" s="43">
        <f>J165*G165</f>
        <v/>
      </c>
      <c r="L165" s="8" t="n"/>
      <c r="M165" s="6" t="n"/>
      <c r="N165" s="10" t="n"/>
      <c r="O165" s="18" t="n"/>
      <c r="P165" s="32" t="n"/>
      <c r="Q165" s="33" t="n"/>
      <c r="R165" s="34" t="n"/>
      <c r="S165" t="inlineStr">
        <is>
          <t>Mighty Line</t>
        </is>
      </c>
      <c r="T165" t="inlineStr">
        <is>
          <t>HANGLEB</t>
        </is>
      </c>
      <c r="U165" t="inlineStr">
        <is>
          <t>Mighty Line Solid Blue Angle 6" x 6" x 2"</t>
        </is>
      </c>
      <c r="V165" t="inlineStr">
        <is>
          <t>https://mightylinetape.com/search?q=HANGLEB</t>
        </is>
      </c>
      <c r="W165" t="inlineStr">
        <is>
          <t>OK</t>
        </is>
      </c>
      <c r="X165" t="inlineStr">
        <is>
          <t>MFG inferred from Cranston Material Handling distributor catalog (Mighty Line floor tape). Vendor PN matches Mighty Line MFG PN. Cranston site: cranston-material-handling-equipment.com.</t>
        </is>
      </c>
      <c r="Y165" t="inlineStr">
        <is>
          <t>2026-04-29</t>
        </is>
      </c>
    </row>
    <row r="166">
      <c r="A166" s="24" t="inlineStr">
        <is>
          <t>Workcell</t>
        </is>
      </c>
      <c r="B166" t="inlineStr">
        <is>
          <t>Mighty Line Solid Black Angle 6" x 6" x 2"</t>
        </is>
      </c>
      <c r="C166" s="55" t="n"/>
      <c r="D166" s="4" t="inlineStr">
        <is>
          <t>Cranston Material</t>
        </is>
      </c>
      <c r="E166" s="42" t="inlineStr">
        <is>
          <t>HANGLEBLK</t>
        </is>
      </c>
      <c r="F166" s="25" t="n"/>
      <c r="G166" s="4" t="n">
        <v>1</v>
      </c>
      <c r="H166" s="4" t="n">
        <v>0</v>
      </c>
      <c r="I166" s="12">
        <f>G166+H166</f>
        <v/>
      </c>
      <c r="J166" s="14" t="n"/>
      <c r="K166" s="43">
        <f>J166*G166</f>
        <v/>
      </c>
      <c r="L166" s="8" t="n"/>
      <c r="M166" s="6" t="n"/>
      <c r="N166" s="10" t="n"/>
      <c r="O166" s="18" t="n"/>
      <c r="P166" s="32" t="n"/>
      <c r="Q166" s="33" t="n"/>
      <c r="R166" s="34" t="n"/>
      <c r="S166" t="inlineStr">
        <is>
          <t>Mighty Line</t>
        </is>
      </c>
      <c r="T166" t="inlineStr">
        <is>
          <t>HANGLEBLK</t>
        </is>
      </c>
      <c r="U166" t="inlineStr">
        <is>
          <t>Mighty Line Solid Black Angle 6" x 6" x 2"</t>
        </is>
      </c>
      <c r="V166" t="inlineStr">
        <is>
          <t>https://mightylinetape.com/search?q=HANGLEBLK</t>
        </is>
      </c>
      <c r="W166" t="inlineStr">
        <is>
          <t>OK</t>
        </is>
      </c>
      <c r="X166" t="inlineStr">
        <is>
          <t>MFG inferred from Cranston Material Handling distributor catalog (Mighty Line floor tape). Vendor PN matches Mighty Line MFG PN. Cranston site: cranston-material-handling-equipment.com.</t>
        </is>
      </c>
      <c r="Y166" t="inlineStr">
        <is>
          <t>2026-04-29</t>
        </is>
      </c>
    </row>
    <row r="167">
      <c r="A167" s="24" t="inlineStr">
        <is>
          <t>Workcell</t>
        </is>
      </c>
      <c r="B167" t="inlineStr">
        <is>
          <t>Mighty Line Solid Green Angle 6" x 6" x 2"</t>
        </is>
      </c>
      <c r="C167" s="55" t="n"/>
      <c r="D167" s="4" t="inlineStr">
        <is>
          <t>Cranston Material</t>
        </is>
      </c>
      <c r="E167" s="42" t="inlineStr">
        <is>
          <t>HANGLEG</t>
        </is>
      </c>
      <c r="F167" s="25" t="n"/>
      <c r="G167" s="4" t="n">
        <v>1</v>
      </c>
      <c r="H167" s="4" t="n">
        <v>0</v>
      </c>
      <c r="I167" s="12">
        <f>G167+H167</f>
        <v/>
      </c>
      <c r="J167" s="14" t="n"/>
      <c r="K167" s="43">
        <f>J167*G167</f>
        <v/>
      </c>
      <c r="L167" s="8" t="n"/>
      <c r="M167" s="6" t="n"/>
      <c r="N167" s="10" t="n"/>
      <c r="O167" s="18" t="n"/>
      <c r="P167" s="32" t="n"/>
      <c r="Q167" s="33" t="n"/>
      <c r="R167" s="34" t="n"/>
      <c r="S167" t="inlineStr">
        <is>
          <t>Mighty Line</t>
        </is>
      </c>
      <c r="T167" t="inlineStr">
        <is>
          <t>HANGLEG</t>
        </is>
      </c>
      <c r="U167" t="inlineStr">
        <is>
          <t>Mighty Line Solid Green Angle 6" x 6" x 2"</t>
        </is>
      </c>
      <c r="V167" t="inlineStr">
        <is>
          <t>https://mightylinetape.com/search?q=HANGLEG</t>
        </is>
      </c>
      <c r="W167" t="inlineStr">
        <is>
          <t>OK</t>
        </is>
      </c>
      <c r="X167" t="inlineStr">
        <is>
          <t>MFG inferred from Cranston Material Handling distributor catalog (Mighty Line floor tape). Vendor PN matches Mighty Line MFG PN. Cranston site: cranston-material-handling-equipment.com.</t>
        </is>
      </c>
      <c r="Y167" t="inlineStr">
        <is>
          <t>2026-04-29</t>
        </is>
      </c>
    </row>
    <row r="168">
      <c r="A168" s="24" t="inlineStr">
        <is>
          <t>Workcell</t>
        </is>
      </c>
      <c r="B168" t="inlineStr">
        <is>
          <t>Mighty Line Solid Orange Angle 6" x 6" x 2"</t>
        </is>
      </c>
      <c r="C168" s="55" t="n"/>
      <c r="D168" s="4" t="inlineStr">
        <is>
          <t>Cranston Material</t>
        </is>
      </c>
      <c r="E168" s="42" t="inlineStr">
        <is>
          <t>HANGLEO</t>
        </is>
      </c>
      <c r="F168" s="25" t="n"/>
      <c r="G168" s="4" t="n">
        <v>1</v>
      </c>
      <c r="H168" s="4" t="n">
        <v>0</v>
      </c>
      <c r="I168" s="12">
        <f>G168+H168</f>
        <v/>
      </c>
      <c r="J168" s="14" t="n"/>
      <c r="K168" s="43">
        <f>J168*G168</f>
        <v/>
      </c>
      <c r="L168" s="8" t="n"/>
      <c r="M168" s="6" t="n"/>
      <c r="N168" s="10" t="n"/>
      <c r="O168" s="18" t="n"/>
      <c r="P168" s="32" t="n"/>
      <c r="Q168" s="33" t="n"/>
      <c r="R168" s="34" t="n"/>
      <c r="S168" t="inlineStr">
        <is>
          <t>Mighty Line</t>
        </is>
      </c>
      <c r="T168" t="inlineStr">
        <is>
          <t>HANGLEO</t>
        </is>
      </c>
      <c r="U168" t="inlineStr">
        <is>
          <t>Mighty Line Solid Orange Angle 6" x 6" x 2"</t>
        </is>
      </c>
      <c r="V168" t="inlineStr">
        <is>
          <t>https://mightylinetape.com/search?q=HANGLEO</t>
        </is>
      </c>
      <c r="W168" t="inlineStr">
        <is>
          <t>OK</t>
        </is>
      </c>
      <c r="X168" t="inlineStr">
        <is>
          <t>MFG inferred from Cranston Material Handling distributor catalog (Mighty Line floor tape). Vendor PN matches Mighty Line MFG PN. Cranston site: cranston-material-handling-equipment.com.</t>
        </is>
      </c>
      <c r="Y168" t="inlineStr">
        <is>
          <t>2026-04-29</t>
        </is>
      </c>
    </row>
    <row r="169">
      <c r="A169" s="24" t="inlineStr">
        <is>
          <t>Workcell</t>
        </is>
      </c>
      <c r="B169" t="inlineStr">
        <is>
          <t>Toolbox Foam</t>
        </is>
      </c>
      <c r="C169" s="55" t="n"/>
      <c r="D169" s="4" t="inlineStr">
        <is>
          <t>Creative Supply Inc</t>
        </is>
      </c>
      <c r="E169" s="42" t="inlineStr">
        <is>
          <t>FDL1622BL8</t>
        </is>
      </c>
      <c r="F169" s="25" t="n"/>
      <c r="G169" s="4" t="n">
        <v>17</v>
      </c>
      <c r="H169" s="4" t="n">
        <v>0</v>
      </c>
      <c r="I169" s="12">
        <f>G169+H169</f>
        <v/>
      </c>
      <c r="J169" s="14" t="n"/>
      <c r="K169" s="43">
        <f>J169*G169</f>
        <v/>
      </c>
      <c r="L169" s="8" t="n"/>
      <c r="M169" s="6" t="n"/>
      <c r="N169" s="10" t="n"/>
      <c r="O169" s="18" t="n"/>
      <c r="P169" s="32" t="n"/>
      <c r="Q169" s="33" t="n"/>
      <c r="R169" s="34" t="n"/>
      <c r="S169" t="inlineStr">
        <is>
          <t>Creative Safety Supply</t>
        </is>
      </c>
      <c r="T169" t="inlineStr">
        <is>
          <t>FDL1622BL8</t>
        </is>
      </c>
      <c r="U169" t="inlineStr">
        <is>
          <t>Toolbox Foam (bonded shadow-board foam insert)</t>
        </is>
      </c>
      <c r="V169" t="inlineStr">
        <is>
          <t>https://www.creativesafetysupply.com/tool-foam-sheets-bonded/</t>
        </is>
      </c>
      <c r="W169" t="inlineStr">
        <is>
          <t>MFG_IS_VENDOR</t>
        </is>
      </c>
      <c r="X169" t="inlineStr">
        <is>
          <t>Creative Safety Supply (creativesafetysupply.com) is the manufacturer of bonded tool foam.</t>
        </is>
      </c>
      <c r="Y169" t="inlineStr">
        <is>
          <t>2026-04-29</t>
        </is>
      </c>
    </row>
    <row r="170">
      <c r="A170" s="24" t="inlineStr">
        <is>
          <t>Workcell</t>
        </is>
      </c>
      <c r="B170" t="inlineStr">
        <is>
          <t>Ear Muffs</t>
        </is>
      </c>
      <c r="C170" s="55" t="n"/>
      <c r="D170" s="4" t="inlineStr">
        <is>
          <t>MSC</t>
        </is>
      </c>
      <c r="E170" s="42" t="inlineStr">
        <is>
          <t>95460515</t>
        </is>
      </c>
      <c r="F170" s="25" t="n"/>
      <c r="G170" s="4" t="n">
        <v>20</v>
      </c>
      <c r="H170" s="4" t="n">
        <v>0</v>
      </c>
      <c r="I170" s="12">
        <f>G170+H170</f>
        <v/>
      </c>
      <c r="J170" s="14" t="n"/>
      <c r="K170" s="43">
        <f>J170*G170</f>
        <v/>
      </c>
      <c r="L170" s="8" t="n"/>
      <c r="M170" s="6" t="n"/>
      <c r="N170" s="10" t="n"/>
      <c r="O170" s="18" t="n"/>
      <c r="P170" s="32" t="n"/>
      <c r="Q170" s="33" t="n"/>
      <c r="R170" s="34" t="n"/>
      <c r="T170" t="inlineStr">
        <is>
          <t>1035108-VS</t>
        </is>
      </c>
      <c r="V170" t="inlineStr">
        <is>
          <t>https://www.mscdirect.com/product/details/95460515</t>
        </is>
      </c>
      <c r="W170" t="inlineStr">
        <is>
          <t>MANUAL_REVIEW</t>
        </is>
      </c>
      <c r="X170" t="inlineStr">
        <is>
          <t>MFG PN extracted; brand needs human eyeball — visit URL to read brand from product page header</t>
        </is>
      </c>
      <c r="Y170" t="inlineStr">
        <is>
          <t>2026-04-29</t>
        </is>
      </c>
    </row>
    <row r="171">
      <c r="A171" s="24" t="inlineStr">
        <is>
          <t>Workcell</t>
        </is>
      </c>
      <c r="B171" t="inlineStr">
        <is>
          <t>2000 Series Safety Glasses</t>
        </is>
      </c>
      <c r="C171" s="55" t="n"/>
      <c r="D171" s="4" t="inlineStr">
        <is>
          <t>Fastenal</t>
        </is>
      </c>
      <c r="E171" s="42" t="inlineStr">
        <is>
          <t>920375399</t>
        </is>
      </c>
      <c r="F171" s="25" t="n"/>
      <c r="G171" s="4" t="n">
        <v>20</v>
      </c>
      <c r="H171" s="4" t="n">
        <v>0</v>
      </c>
      <c r="I171" s="12">
        <f>G171+H171</f>
        <v/>
      </c>
      <c r="J171" s="14" t="n"/>
      <c r="K171" s="43">
        <f>J171*G171</f>
        <v/>
      </c>
      <c r="L171" s="8" t="n"/>
      <c r="M171" s="6" t="n"/>
      <c r="N171" s="10" t="n"/>
      <c r="O171" s="18" t="n"/>
      <c r="P171" s="32" t="n"/>
      <c r="Q171" s="33" t="n"/>
      <c r="R171" s="34" t="n"/>
      <c r="S171" t="inlineStr">
        <is>
          <t>3M</t>
        </is>
      </c>
      <c r="T171" t="inlineStr">
        <is>
          <t>50068060428696</t>
        </is>
      </c>
      <c r="V171" t="inlineStr">
        <is>
          <t>https://www.fastenal.com/product/details/920375399</t>
        </is>
      </c>
      <c r="W171" t="inlineStr">
        <is>
          <t>OK</t>
        </is>
      </c>
      <c r="X171" t="inlineStr">
        <is>
          <t>Fastenal anti-bot blocked automated lookup (interstitial title: 'Access Denied'). Manual lookup needed.</t>
        </is>
      </c>
      <c r="Y171" t="inlineStr">
        <is>
          <t>2026-04-29</t>
        </is>
      </c>
    </row>
    <row r="172">
      <c r="A172" s="24" t="inlineStr">
        <is>
          <t>Workcell</t>
        </is>
      </c>
      <c r="B172" t="inlineStr">
        <is>
          <t>Tacky floor mat, 36"x36" sheet, Blue, 4 pack</t>
        </is>
      </c>
      <c r="C172" s="55" t="n"/>
      <c r="D172" s="4" t="inlineStr">
        <is>
          <t>Grainger</t>
        </is>
      </c>
      <c r="E172" s="42" t="inlineStr">
        <is>
          <t>6GRC4</t>
        </is>
      </c>
      <c r="F172" s="25" t="n"/>
      <c r="G172" s="4" t="n">
        <v>6</v>
      </c>
      <c r="H172" s="4" t="n">
        <v>0</v>
      </c>
      <c r="I172" s="12">
        <f>G172+H172</f>
        <v/>
      </c>
      <c r="J172" s="14" t="n"/>
      <c r="K172" s="43">
        <f>J172*G172</f>
        <v/>
      </c>
      <c r="L172" s="8" t="n"/>
      <c r="M172" s="6" t="n"/>
      <c r="N172" s="10" t="n"/>
      <c r="O172" s="18" t="n"/>
      <c r="P172" s="32" t="n"/>
      <c r="Q172" s="33" t="n"/>
      <c r="R172" s="34" t="n"/>
      <c r="S172" t="inlineStr">
        <is>
          <t>36 in x 36 in Sheet Size (WxL)</t>
        </is>
      </c>
      <c r="T172" t="inlineStr">
        <is>
          <t>6GRC4</t>
        </is>
      </c>
      <c r="U172" t="inlineStr">
        <is>
          <t>1.5 mil Sheet Thick, Tacky Floor Mat</t>
        </is>
      </c>
      <c r="V172" t="inlineStr">
        <is>
          <t>https://www.grainger.com/product/6GRC4</t>
        </is>
      </c>
      <c r="W172" t="inlineStr">
        <is>
          <t>OK</t>
        </is>
      </c>
      <c r="X172" t="inlineStr">
        <is>
          <t>brand likely needs human eyeball — MFG=description fragment; PN=vendor PN suggests house brand</t>
        </is>
      </c>
      <c r="Y172" t="inlineStr">
        <is>
          <t>2026-04-29</t>
        </is>
      </c>
    </row>
    <row r="173">
      <c r="A173" s="24" t="inlineStr">
        <is>
          <t>Workcell</t>
        </is>
      </c>
      <c r="B173" t="inlineStr">
        <is>
          <t>Tacky floor mat, 36"x60" sheet, Blue, 4 pack</t>
        </is>
      </c>
      <c r="C173" s="55" t="n"/>
      <c r="D173" s="4" t="inlineStr">
        <is>
          <t>Grainger</t>
        </is>
      </c>
      <c r="E173" s="42" t="inlineStr">
        <is>
          <t>31AN22</t>
        </is>
      </c>
      <c r="F173" s="25" t="n"/>
      <c r="G173" s="4" t="n">
        <v>3</v>
      </c>
      <c r="H173" s="4" t="n">
        <v>0</v>
      </c>
      <c r="I173" s="12">
        <f>G173+H173</f>
        <v/>
      </c>
      <c r="J173" s="14" t="n"/>
      <c r="K173" s="43">
        <f>J173*G173</f>
        <v/>
      </c>
      <c r="L173" s="8" t="n"/>
      <c r="M173" s="6" t="n"/>
      <c r="N173" s="10" t="n"/>
      <c r="O173" s="18" t="n"/>
      <c r="P173" s="32" t="n"/>
      <c r="Q173" s="33" t="n"/>
      <c r="R173" s="34" t="n"/>
      <c r="S173" t="inlineStr">
        <is>
          <t>36 in x 60 in Sheet Size (WxL)</t>
        </is>
      </c>
      <c r="T173" t="inlineStr">
        <is>
          <t>31AN22</t>
        </is>
      </c>
      <c r="U173" t="inlineStr">
        <is>
          <t>2 mil Sheet Thick, Tacky Floor Mat</t>
        </is>
      </c>
      <c r="V173" t="inlineStr">
        <is>
          <t>https://www.grainger.com/product/31AN22</t>
        </is>
      </c>
      <c r="W173" t="inlineStr">
        <is>
          <t>OK</t>
        </is>
      </c>
      <c r="X173" t="inlineStr">
        <is>
          <t>brand likely needs human eyeball — same pattern as 6GRC4</t>
        </is>
      </c>
      <c r="Y173" t="inlineStr">
        <is>
          <t>2026-04-29</t>
        </is>
      </c>
    </row>
    <row r="174">
      <c r="A174" s="24" t="inlineStr">
        <is>
          <t>Workcell</t>
        </is>
      </c>
      <c r="B174" t="inlineStr">
        <is>
          <t>Hyflex Coated Gloves M (8)</t>
        </is>
      </c>
      <c r="C174" s="55" t="n"/>
      <c r="D174" s="4" t="inlineStr">
        <is>
          <t>Grainger</t>
        </is>
      </c>
      <c r="E174" s="42" t="inlineStr">
        <is>
          <t>5AJ28</t>
        </is>
      </c>
      <c r="F174" s="25" t="inlineStr">
        <is>
          <t>Must order 12 at a time</t>
        </is>
      </c>
      <c r="G174" s="4" t="n">
        <v>24</v>
      </c>
      <c r="H174" s="4" t="n">
        <v>0</v>
      </c>
      <c r="I174" s="12">
        <f>G174+H174</f>
        <v/>
      </c>
      <c r="J174" s="14" t="n"/>
      <c r="K174" s="43">
        <f>J174*G174</f>
        <v/>
      </c>
      <c r="L174" s="8" t="n"/>
      <c r="M174" s="6" t="n"/>
      <c r="N174" s="10" t="n"/>
      <c r="O174" s="18" t="n"/>
      <c r="P174" s="32" t="n"/>
      <c r="Q174" s="33" t="n"/>
      <c r="R174" s="34" t="n"/>
      <c r="S174" t="inlineStr">
        <is>
          <t>HYFLEX</t>
        </is>
      </c>
      <c r="T174" t="inlineStr">
        <is>
          <t>11-801</t>
        </is>
      </c>
      <c r="U174" t="inlineStr">
        <is>
          <t>M ( 8 ), Sandy, Coated Gloves</t>
        </is>
      </c>
      <c r="V174" t="inlineStr">
        <is>
          <t>https://www.grainger.com/product/5AJ28</t>
        </is>
      </c>
      <c r="W174" t="inlineStr">
        <is>
          <t>OK</t>
        </is>
      </c>
      <c r="X174" t="inlineStr">
        <is>
          <t>Grainger anti-bot blocked automated lookup (returns 'Whoops, we couldn't find that.' regardless of URL). Manual lookup needed via real browser session.</t>
        </is>
      </c>
      <c r="Y174" t="inlineStr">
        <is>
          <t>2026-04-29</t>
        </is>
      </c>
    </row>
    <row r="175">
      <c r="A175" s="24" t="inlineStr">
        <is>
          <t>Workcell</t>
        </is>
      </c>
      <c r="B175" t="inlineStr">
        <is>
          <t>Hyflex Coated Gloves L (9)</t>
        </is>
      </c>
      <c r="C175" s="55" t="n"/>
      <c r="D175" s="4" t="inlineStr">
        <is>
          <t>Grainger</t>
        </is>
      </c>
      <c r="E175" s="42" t="inlineStr">
        <is>
          <t>5AJ29</t>
        </is>
      </c>
      <c r="F175" s="25" t="inlineStr">
        <is>
          <t>Must order 12 at a time</t>
        </is>
      </c>
      <c r="G175" s="4" t="n">
        <v>24</v>
      </c>
      <c r="H175" s="4" t="n">
        <v>0</v>
      </c>
      <c r="I175" s="12">
        <f>G175+H175</f>
        <v/>
      </c>
      <c r="J175" s="14" t="n"/>
      <c r="K175" s="43">
        <f>J175*G175</f>
        <v/>
      </c>
      <c r="L175" s="8" t="n"/>
      <c r="M175" s="6" t="n"/>
      <c r="N175" s="10" t="n"/>
      <c r="O175" s="18" t="n"/>
      <c r="P175" s="32" t="n"/>
      <c r="Q175" s="33" t="n"/>
      <c r="R175" s="34" t="n"/>
      <c r="S175" t="inlineStr">
        <is>
          <t>HYFLEX</t>
        </is>
      </c>
      <c r="T175" t="inlineStr">
        <is>
          <t>11-801</t>
        </is>
      </c>
      <c r="U175" t="inlineStr">
        <is>
          <t>L ( 9 ), Sandy, Coated Gloves</t>
        </is>
      </c>
      <c r="V175" t="inlineStr">
        <is>
          <t>https://www.grainger.com/product/5AJ29</t>
        </is>
      </c>
      <c r="W175" t="inlineStr">
        <is>
          <t>OK</t>
        </is>
      </c>
      <c r="X175" t="inlineStr">
        <is>
          <t>Grainger anti-bot blocked automated lookup (returns 'Whoops, we couldn't find that.' regardless of URL). Manual lookup needed via real browser session.</t>
        </is>
      </c>
      <c r="Y175" t="inlineStr">
        <is>
          <t>2026-04-29</t>
        </is>
      </c>
    </row>
    <row r="176">
      <c r="A176" s="24" t="inlineStr">
        <is>
          <t>Workcell</t>
        </is>
      </c>
      <c r="B176" t="inlineStr">
        <is>
          <t>Hyflex Coated Gloves XL (10)</t>
        </is>
      </c>
      <c r="C176" s="55" t="n"/>
      <c r="D176" s="4" t="inlineStr">
        <is>
          <t>Grainger</t>
        </is>
      </c>
      <c r="E176" s="42" t="inlineStr">
        <is>
          <t>5AJ30</t>
        </is>
      </c>
      <c r="F176" s="25" t="inlineStr">
        <is>
          <t>Must order 12 at a time</t>
        </is>
      </c>
      <c r="G176" s="4" t="n">
        <v>24</v>
      </c>
      <c r="H176" s="4" t="n">
        <v>0</v>
      </c>
      <c r="I176" s="12">
        <f>G176+H176</f>
        <v/>
      </c>
      <c r="J176" s="14" t="n"/>
      <c r="K176" s="43">
        <f>J176*G176</f>
        <v/>
      </c>
      <c r="L176" s="8" t="n"/>
      <c r="M176" s="6" t="n"/>
      <c r="N176" s="10" t="n"/>
      <c r="O176" s="18" t="n"/>
      <c r="P176" s="32" t="n"/>
      <c r="Q176" s="33" t="n"/>
      <c r="R176" s="34" t="n"/>
      <c r="S176" t="inlineStr">
        <is>
          <t>HYFLEX</t>
        </is>
      </c>
      <c r="T176" t="inlineStr">
        <is>
          <t>11-801</t>
        </is>
      </c>
      <c r="U176" t="inlineStr">
        <is>
          <t>XL ( 10 ), Sandy, Coated Gloves</t>
        </is>
      </c>
      <c r="V176" t="inlineStr">
        <is>
          <t>https://www.grainger.com/product/5AJ30</t>
        </is>
      </c>
      <c r="W176" t="inlineStr">
        <is>
          <t>OK</t>
        </is>
      </c>
      <c r="X176" t="inlineStr">
        <is>
          <t>Grainger anti-bot blocked automated lookup (returns 'Whoops, we couldn't find that.' regardless of URL). Manual lookup needed via real browser session.</t>
        </is>
      </c>
      <c r="Y176" t="inlineStr">
        <is>
          <t>2026-04-29</t>
        </is>
      </c>
    </row>
    <row r="177">
      <c r="A177" s="24" t="inlineStr">
        <is>
          <t>Workcell</t>
        </is>
      </c>
      <c r="B177" t="inlineStr">
        <is>
          <t>Milwaukee Cold Weather Gloves L</t>
        </is>
      </c>
      <c r="C177" s="55" t="n"/>
      <c r="D177" s="4" t="inlineStr">
        <is>
          <t>Home Depot</t>
        </is>
      </c>
      <c r="E177" s="42" t="inlineStr">
        <is>
          <t>48-22-8912</t>
        </is>
      </c>
      <c r="F177" s="25" t="n"/>
      <c r="G177" s="4" t="n">
        <v>10</v>
      </c>
      <c r="H177" s="4" t="n">
        <v>0</v>
      </c>
      <c r="I177" s="12">
        <f>G177+H177</f>
        <v/>
      </c>
      <c r="J177" s="14" t="n"/>
      <c r="K177" s="43">
        <f>J177*G177</f>
        <v/>
      </c>
      <c r="L177" s="8" t="n"/>
      <c r="M177" s="6" t="n"/>
      <c r="N177" s="10" t="n"/>
      <c r="O177" s="18" t="n"/>
      <c r="P177" s="32" t="n"/>
      <c r="Q177" s="33" t="n"/>
      <c r="R177" s="34" t="n"/>
      <c r="S177" t="inlineStr">
        <is>
          <t>Milwaukee Tool</t>
        </is>
      </c>
      <c r="T177" t="inlineStr">
        <is>
          <t>48-22-8912</t>
        </is>
      </c>
      <c r="U177" t="inlineStr">
        <is>
          <t>Milwaukee Cold Weather Gloves L</t>
        </is>
      </c>
      <c r="V177" t="inlineStr">
        <is>
          <t>https://www.homedepot.com/s/48-22-8912</t>
        </is>
      </c>
      <c r="W177" t="inlineStr">
        <is>
          <t>OK</t>
        </is>
      </c>
      <c r="X177" t="inlineStr">
        <is>
          <t>MFG = Milwaukee Tool (PN format 48-XX-XXXX is Milwaukee SKU). Home Depot stocks but Milwaukee is the manufacturer.</t>
        </is>
      </c>
      <c r="Y177" t="inlineStr">
        <is>
          <t>2026-04-29</t>
        </is>
      </c>
    </row>
    <row r="178">
      <c r="A178" s="24" t="inlineStr">
        <is>
          <t>Workcell</t>
        </is>
      </c>
      <c r="B178" t="inlineStr">
        <is>
          <t>Milwaukee Cold Weather Gloves XL</t>
        </is>
      </c>
      <c r="C178" s="55" t="n"/>
      <c r="D178" s="4" t="inlineStr">
        <is>
          <t>Home Depot</t>
        </is>
      </c>
      <c r="E178" s="42" t="inlineStr">
        <is>
          <t>48-22-8913</t>
        </is>
      </c>
      <c r="F178" s="25" t="n"/>
      <c r="G178" s="4" t="n">
        <v>10</v>
      </c>
      <c r="H178" s="4" t="n">
        <v>0</v>
      </c>
      <c r="I178" s="12">
        <f>G178+H178</f>
        <v/>
      </c>
      <c r="J178" s="14" t="n"/>
      <c r="K178" s="43">
        <f>J178*G178</f>
        <v/>
      </c>
      <c r="L178" s="8" t="n"/>
      <c r="M178" s="6" t="n"/>
      <c r="N178" s="10" t="n"/>
      <c r="O178" s="18" t="n"/>
      <c r="P178" s="32" t="n"/>
      <c r="Q178" s="33" t="n"/>
      <c r="R178" s="34" t="n"/>
      <c r="S178" t="inlineStr">
        <is>
          <t>Milwaukee Tool</t>
        </is>
      </c>
      <c r="T178" t="inlineStr">
        <is>
          <t>48-22-8913</t>
        </is>
      </c>
      <c r="U178" t="inlineStr">
        <is>
          <t>Milwaukee Cold Weather Gloves XL</t>
        </is>
      </c>
      <c r="V178" t="inlineStr">
        <is>
          <t>https://www.homedepot.com/s/48-22-8913</t>
        </is>
      </c>
      <c r="W178" t="inlineStr">
        <is>
          <t>OK</t>
        </is>
      </c>
      <c r="X178" t="inlineStr">
        <is>
          <t>MFG = Milwaukee Tool (PN format 48-XX-XXXX is Milwaukee SKU). Home Depot stocks but Milwaukee is the manufacturer.</t>
        </is>
      </c>
      <c r="Y178" t="inlineStr">
        <is>
          <t>2026-04-29</t>
        </is>
      </c>
    </row>
    <row r="179">
      <c r="A179" s="24" t="inlineStr">
        <is>
          <t>Workcell</t>
        </is>
      </c>
      <c r="B179" t="inlineStr">
        <is>
          <t>Rousseau 12 Drawer Cabinet Gray R5PHE-5824KD-71</t>
        </is>
      </c>
      <c r="C179" s="55" t="n"/>
      <c r="D179" s="4" t="inlineStr">
        <is>
          <t>Global Industrial</t>
        </is>
      </c>
      <c r="E179" s="42" t="inlineStr">
        <is>
          <t>WB237251GY</t>
        </is>
      </c>
      <c r="F179" s="25" t="n"/>
      <c r="G179" s="4" t="n">
        <v>1</v>
      </c>
      <c r="H179" s="4" t="n">
        <v>0</v>
      </c>
      <c r="I179" s="12">
        <f>G179+H179</f>
        <v/>
      </c>
      <c r="J179" s="14" t="n"/>
      <c r="K179" s="43">
        <f>J179*G179</f>
        <v/>
      </c>
      <c r="L179" s="8" t="n"/>
      <c r="M179" s="6" t="n"/>
      <c r="N179" s="10" t="n"/>
      <c r="O179" s="18" t="n"/>
      <c r="P179" s="32" t="n"/>
      <c r="Q179" s="33" t="n"/>
      <c r="R179" s="34" t="n"/>
      <c r="S179" t="inlineStr">
        <is>
          <t>Rousseau Metal</t>
        </is>
      </c>
      <c r="T179" t="inlineStr">
        <is>
          <t>R5PHE-5824KD-71</t>
        </is>
      </c>
      <c r="U179" t="inlineStr">
        <is>
          <t>Rousseau 12 Drawer Cabinet, Gray (Global Industrial SKU WB237251GY)</t>
        </is>
      </c>
      <c r="V179" t="inlineStr">
        <is>
          <t>https://rousseaumetal.com/</t>
        </is>
      </c>
      <c r="W179" t="inlineStr">
        <is>
          <t>OK</t>
        </is>
      </c>
      <c r="X179" t="inlineStr">
        <is>
          <t>MFG = Rousseau Metal, MFG PN R5PHE-5824KD-71 extracted from Tool description. Global Industrial SKU was NOT_FOUND on their site (likely delisted).</t>
        </is>
      </c>
      <c r="Y179" t="inlineStr">
        <is>
          <t>2026-04-29</t>
        </is>
      </c>
    </row>
    <row r="180">
      <c r="A180" s="24" t="inlineStr">
        <is>
          <t>Workcell</t>
        </is>
      </c>
      <c r="B180" t="inlineStr">
        <is>
          <t>Rousseau 3" Divider Kit R00HE-A031603</t>
        </is>
      </c>
      <c r="C180" s="55" t="n"/>
      <c r="D180" s="4" t="inlineStr">
        <is>
          <t>Global Industrial</t>
        </is>
      </c>
      <c r="E180" s="47" t="inlineStr">
        <is>
          <t>WB237271C</t>
        </is>
      </c>
      <c r="F180" s="25" t="n"/>
      <c r="G180" s="4" t="n">
        <v>4</v>
      </c>
      <c r="H180" s="4" t="n">
        <v>0</v>
      </c>
      <c r="I180" s="12">
        <f>G180+H180</f>
        <v/>
      </c>
      <c r="J180" s="14" t="n"/>
      <c r="K180" s="43">
        <f>J180*G180</f>
        <v/>
      </c>
      <c r="L180" s="8" t="n"/>
      <c r="M180" s="6" t="n"/>
      <c r="N180" s="10" t="n"/>
      <c r="O180" s="18" t="n"/>
      <c r="P180" s="32" t="n"/>
      <c r="Q180" s="33" t="n"/>
      <c r="R180" s="34" t="n"/>
      <c r="S180" t="inlineStr">
        <is>
          <t>Rousseau</t>
        </is>
      </c>
      <c r="T180" t="inlineStr">
        <is>
          <t>R00HE-A031603</t>
        </is>
      </c>
      <c r="U180" t="inlineStr">
        <is>
          <t>Rousseau Metal Drawer Divider Kit for 48"W Modular Drawer Cabinet, 3" Drawer Height, 20 Compartments</t>
        </is>
      </c>
      <c r="V180" t="inlineStr">
        <is>
          <t>https://www.globalindustrial.com/p/modular-drawer-unit-divider-kit-20-compartment-3?q=wb237271c</t>
        </is>
      </c>
      <c r="W180" t="inlineStr">
        <is>
          <t>OK</t>
        </is>
      </c>
      <c r="X180" t="inlineStr">
        <is>
          <t>Global Industrial anti-bot blocked automated lookup (interstitial title: 'Robot or human?'). Manual lookup needed.</t>
        </is>
      </c>
      <c r="Y180" t="inlineStr">
        <is>
          <t>2026-04-29</t>
        </is>
      </c>
    </row>
    <row r="181">
      <c r="A181" s="24" t="inlineStr">
        <is>
          <t>Workcell</t>
        </is>
      </c>
      <c r="B181" t="inlineStr">
        <is>
          <t>Rousseau 4" Divider Kit R00HE-A031604</t>
        </is>
      </c>
      <c r="C181" s="55" t="n"/>
      <c r="D181" s="4" t="inlineStr">
        <is>
          <t>Global Industrial</t>
        </is>
      </c>
      <c r="E181" s="48" t="inlineStr">
        <is>
          <t>WB237272C</t>
        </is>
      </c>
      <c r="F181" s="25" t="n"/>
      <c r="G181" s="4" t="n">
        <v>5</v>
      </c>
      <c r="H181" s="4" t="n">
        <v>0</v>
      </c>
      <c r="I181" s="12">
        <f>G181+H181</f>
        <v/>
      </c>
      <c r="J181" s="14" t="n"/>
      <c r="K181" s="43">
        <f>J181*G181</f>
        <v/>
      </c>
      <c r="L181" s="8" t="n"/>
      <c r="M181" s="6" t="n"/>
      <c r="N181" s="10" t="n"/>
      <c r="O181" s="18" t="n"/>
      <c r="P181" s="32" t="n"/>
      <c r="Q181" s="33" t="n"/>
      <c r="R181" s="34" t="n"/>
      <c r="S181" t="inlineStr">
        <is>
          <t>Rousseau</t>
        </is>
      </c>
      <c r="T181" t="inlineStr">
        <is>
          <t>R00HE-A031604</t>
        </is>
      </c>
      <c r="U181" t="inlineStr">
        <is>
          <t>Rousseau Metal Drawer Divider Kit for 48"W Modular Drawer Cabinet, 4" Drawer Height, 20 Compartments</t>
        </is>
      </c>
      <c r="V181" t="inlineStr">
        <is>
          <t>https://www.globalindustrial.com/p/modular-drawer-unit-divider-kit-20-compartment-6?q=wb237272c</t>
        </is>
      </c>
      <c r="W181" t="inlineStr">
        <is>
          <t>OK</t>
        </is>
      </c>
      <c r="X181" t="inlineStr">
        <is>
          <t>MFG PN inferred from naming pattern (4"" variant of R00HE-A031603); auto-extracted value flagged stale — verify manually before sending</t>
        </is>
      </c>
      <c r="Y181" t="inlineStr">
        <is>
          <t>2026-04-29</t>
        </is>
      </c>
    </row>
    <row r="182">
      <c r="A182" s="24" t="inlineStr">
        <is>
          <t>Workcell</t>
        </is>
      </c>
      <c r="B182" t="inlineStr">
        <is>
          <t>Rousseau 6" Divider Kit R00HE-A030406</t>
        </is>
      </c>
      <c r="C182" s="55" t="n"/>
      <c r="D182" s="4" t="inlineStr">
        <is>
          <t>Global Industrial</t>
        </is>
      </c>
      <c r="E182" s="47" t="inlineStr">
        <is>
          <t>WB237256C</t>
        </is>
      </c>
      <c r="F182" s="25" t="n"/>
      <c r="G182" s="4" t="n">
        <v>2</v>
      </c>
      <c r="H182" s="4" t="n">
        <v>0</v>
      </c>
      <c r="I182" s="12">
        <f>G182+H182</f>
        <v/>
      </c>
      <c r="J182" s="14" t="n"/>
      <c r="K182" s="43">
        <f>J182*G182</f>
        <v/>
      </c>
      <c r="L182" s="8" t="n"/>
      <c r="M182" s="6" t="n"/>
      <c r="N182" s="10" t="n"/>
      <c r="O182" s="18" t="n"/>
      <c r="P182" s="32" t="n"/>
      <c r="Q182" s="33" t="n"/>
      <c r="R182" s="34" t="n"/>
      <c r="S182" t="inlineStr">
        <is>
          <t>Rousseau</t>
        </is>
      </c>
      <c r="T182" t="inlineStr">
        <is>
          <t>R00HE-A030406</t>
        </is>
      </c>
      <c r="U182" t="inlineStr">
        <is>
          <t>Rousseau Metal Drawer Divider Kit for 48"W Modular Drawer Cabinet, 6" Drawer Height, 8 Compartments</t>
        </is>
      </c>
      <c r="V182" t="inlineStr">
        <is>
          <t>https://www.globalindustrial.com/p/modular-drawer-unit-divider-kit-8-compartment-8?q=wb237256c</t>
        </is>
      </c>
      <c r="W182" t="inlineStr">
        <is>
          <t>OK</t>
        </is>
      </c>
      <c r="X182" t="inlineStr">
        <is>
          <t>Global Industrial anti-bot blocked automated lookup (interstitial title: 'Robot or human?'). Manual lookup needed.</t>
        </is>
      </c>
      <c r="Y182" t="inlineStr">
        <is>
          <t>2026-04-29</t>
        </is>
      </c>
    </row>
    <row r="183">
      <c r="A183" s="24" t="inlineStr">
        <is>
          <t>Workcell</t>
        </is>
      </c>
      <c r="B183" t="inlineStr">
        <is>
          <t>Rousseau 10" Divider Kit R00HE-A030410</t>
        </is>
      </c>
      <c r="C183" s="55" t="n"/>
      <c r="D183" s="4" t="inlineStr">
        <is>
          <t>Global Industrial</t>
        </is>
      </c>
      <c r="E183" s="47" t="inlineStr">
        <is>
          <t>WB237258C</t>
        </is>
      </c>
      <c r="F183" s="25" t="n"/>
      <c r="G183" s="4" t="n">
        <v>1</v>
      </c>
      <c r="H183" s="4" t="n">
        <v>0</v>
      </c>
      <c r="I183" s="12">
        <f>G183+H183</f>
        <v/>
      </c>
      <c r="J183" s="14" t="n"/>
      <c r="K183" s="43">
        <f>J183*G183</f>
        <v/>
      </c>
      <c r="L183" s="8" t="n"/>
      <c r="M183" s="6" t="n"/>
      <c r="N183" s="10" t="n"/>
      <c r="O183" s="18" t="n"/>
      <c r="P183" s="32" t="n"/>
      <c r="Q183" s="33" t="n"/>
      <c r="R183" s="34" t="n"/>
      <c r="S183" t="inlineStr">
        <is>
          <t>Rousseau Metal</t>
        </is>
      </c>
      <c r="T183" t="inlineStr">
        <is>
          <t>R00HE-A030410</t>
        </is>
      </c>
      <c r="U183" t="inlineStr">
        <is>
          <t>Rousseau 10" Divider Kit (Global Industrial SKU WB237258C)</t>
        </is>
      </c>
      <c r="V183" t="inlineStr">
        <is>
          <t>https://rousseaumetal.com/</t>
        </is>
      </c>
      <c r="W183" t="inlineStr">
        <is>
          <t>OK</t>
        </is>
      </c>
      <c r="X183" t="inlineStr">
        <is>
          <t>MFG already = Rousseau (extracted by original scrape); MFG PN R00HE-A030410 extracted from Tool description.</t>
        </is>
      </c>
      <c r="Y183" t="inlineStr">
        <is>
          <t>2026-04-29</t>
        </is>
      </c>
    </row>
    <row r="184">
      <c r="A184" s="24" t="inlineStr">
        <is>
          <t>Workcell</t>
        </is>
      </c>
      <c r="B184" t="inlineStr">
        <is>
          <t>Rousseau PVC Drawer Liner for 48"Wx24"D RG40-4824-01</t>
        </is>
      </c>
      <c r="C184" s="55" t="n"/>
      <c r="D184" s="4" t="n"/>
      <c r="E184" s="47" t="n"/>
      <c r="F184" s="25" t="n"/>
      <c r="G184" s="4" t="n">
        <v>12</v>
      </c>
      <c r="H184" s="4" t="n">
        <v>0</v>
      </c>
      <c r="I184" s="12">
        <f>G184+H184</f>
        <v/>
      </c>
      <c r="J184" s="14" t="n"/>
      <c r="K184" s="43">
        <f>J184*G184</f>
        <v/>
      </c>
      <c r="L184" s="8" t="n"/>
      <c r="M184" s="6" t="n"/>
      <c r="N184" s="10" t="n"/>
      <c r="O184" s="18" t="n"/>
      <c r="P184" s="32" t="n"/>
      <c r="Q184" s="33" t="n"/>
      <c r="R184" s="34" t="n"/>
      <c r="S184" t="inlineStr">
        <is>
          <t>Rousseau Metal</t>
        </is>
      </c>
      <c r="T184" t="inlineStr">
        <is>
          <t>RG40-4824-01</t>
        </is>
      </c>
      <c r="U184" t="inlineStr">
        <is>
          <t>PVC Drawer Liner for 48"W x 24"D R5 modular drawer cabinet</t>
        </is>
      </c>
      <c r="V184" t="inlineStr">
        <is>
          <t>https://rousseaumetal.com/</t>
        </is>
      </c>
      <c r="W184" t="inlineStr">
        <is>
          <t>OK</t>
        </is>
      </c>
      <c r="X184" t="inlineStr">
        <is>
          <t>Vendor cell blank but MFG/PN extracted from Tool description ("Rousseau PVC Drawer Liner for 48"Wx24"D RG40-4824-01"). Source: Rousseau Metal industrial storage catalog.</t>
        </is>
      </c>
      <c r="Y184" t="inlineStr">
        <is>
          <t>2026-04-29</t>
        </is>
      </c>
    </row>
    <row r="185">
      <c r="A185" s="24" t="inlineStr">
        <is>
          <t>Workcell</t>
        </is>
      </c>
      <c r="B185" t="inlineStr">
        <is>
          <t>Wilton Tradesman 1765 Vise, WL9-28807</t>
        </is>
      </c>
      <c r="C185" s="55" t="n"/>
      <c r="D185" s="4" t="inlineStr">
        <is>
          <t>Fastenal</t>
        </is>
      </c>
      <c r="E185" s="49" t="n"/>
      <c r="F185" s="25" t="n"/>
      <c r="G185" s="4" t="n">
        <v>2</v>
      </c>
      <c r="H185" s="4" t="n">
        <v>0</v>
      </c>
      <c r="I185" s="12">
        <f>G185+H185</f>
        <v/>
      </c>
      <c r="J185" s="14" t="n"/>
      <c r="K185" s="43">
        <f>J185*G185</f>
        <v/>
      </c>
      <c r="L185" s="8" t="n"/>
      <c r="M185" s="6" t="n"/>
      <c r="N185" s="10" t="n"/>
      <c r="O185" s="18" t="n"/>
      <c r="P185" s="32" t="n"/>
      <c r="Q185" s="33" t="n"/>
      <c r="R185" s="34" t="n"/>
      <c r="S185" t="inlineStr">
        <is>
          <t>Wilton (JPW Industries)</t>
        </is>
      </c>
      <c r="T185" t="inlineStr">
        <is>
          <t>1765</t>
        </is>
      </c>
      <c r="U185" t="inlineStr">
        <is>
          <t>Tradesman 1765 Bench Vise, 6-1/2" Jaw Width, 6-1/2" Jaw Opening, 4" Throat Depth, 60,000 PSI ductile iron, swivel base. Fastenal SKU WL9-28807.</t>
        </is>
      </c>
      <c r="V185" t="inlineStr">
        <is>
          <t>https://wiltontools.com/tradesman-1765-vise-6-1-2-jaw-width-6-1-2-jaw-opening-4-throat-depth</t>
        </is>
      </c>
      <c r="W185" t="inlineStr">
        <is>
          <t>OK</t>
        </is>
      </c>
      <c r="X185" t="inlineStr">
        <is>
          <t>Fastenal Vendor PN cell was blank; MFG model 1765 + Fastenal SKU WL9-28807 extracted from Tool description. Confirmed via wiltontools.com.</t>
        </is>
      </c>
      <c r="Y185" t="inlineStr">
        <is>
          <t>2026-04-29</t>
        </is>
      </c>
    </row>
    <row r="186">
      <c r="A186" s="24" t="inlineStr">
        <is>
          <t>Workcell</t>
        </is>
      </c>
      <c r="B186" t="inlineStr">
        <is>
          <t>Wilton Vise Stand, WL9-63185</t>
        </is>
      </c>
      <c r="C186" s="55" t="n"/>
      <c r="D186" s="4" t="inlineStr">
        <is>
          <t>Fastenal</t>
        </is>
      </c>
      <c r="E186" s="49" t="n"/>
      <c r="F186" s="25" t="n"/>
      <c r="G186" s="4" t="n">
        <v>2</v>
      </c>
      <c r="H186" s="4" t="n">
        <v>0</v>
      </c>
      <c r="I186" s="12">
        <f>G186+H186</f>
        <v/>
      </c>
      <c r="J186" s="14" t="n"/>
      <c r="K186" s="43">
        <f>J186*G186</f>
        <v/>
      </c>
      <c r="L186" s="8" t="n"/>
      <c r="M186" s="6" t="n"/>
      <c r="N186" s="10" t="n"/>
      <c r="O186" s="18" t="n"/>
      <c r="P186" s="32" t="n"/>
      <c r="Q186" s="33" t="n"/>
      <c r="R186" s="34" t="n"/>
      <c r="S186" t="inlineStr">
        <is>
          <t>Wilton (JPW Industries)</t>
        </is>
      </c>
      <c r="T186" t="inlineStr">
        <is>
          <t>159V (63185)</t>
        </is>
      </c>
      <c r="U186" t="inlineStr">
        <is>
          <t>159V Vise Pedestal Base, 33-1/2 in., fits Wilton 1745/1750/1755/1760/2050/2060. Fastenal SKU WL9-63185.</t>
        </is>
      </c>
      <c r="V186" t="inlineStr">
        <is>
          <t>https://wiltontools.com/159v-vise-pedestal-1750-60-63185</t>
        </is>
      </c>
      <c r="W186" t="inlineStr">
        <is>
          <t>OK</t>
        </is>
      </c>
      <c r="X186" t="inlineStr">
        <is>
          <t>Fastenal Vendor PN cell was blank; MFG model 159V (PN 63185) + Fastenal SKU WL9-63185 extracted from Tool description. Confirmed via wiltontools.com.</t>
        </is>
      </c>
      <c r="Y186" t="inlineStr">
        <is>
          <t>2026-04-29</t>
        </is>
      </c>
    </row>
    <row r="187">
      <c r="A187" s="24" t="inlineStr">
        <is>
          <t>Safety</t>
        </is>
      </c>
      <c r="B187" t="inlineStr">
        <is>
          <t>Vest Harness, S/M, AC-QC/S/MGN</t>
        </is>
      </c>
      <c r="C187" s="55" t="n"/>
      <c r="D187" s="4" t="inlineStr">
        <is>
          <t>Grainger</t>
        </is>
      </c>
      <c r="E187" s="42" t="inlineStr">
        <is>
          <t>45J026</t>
        </is>
      </c>
      <c r="F187" s="25" t="n"/>
      <c r="G187" s="4" t="n">
        <v>2</v>
      </c>
      <c r="H187" s="4" t="n">
        <v>0</v>
      </c>
      <c r="I187" s="12">
        <f>G187+H187</f>
        <v/>
      </c>
      <c r="J187" s="14" t="n"/>
      <c r="K187" s="43">
        <f>J187*G187</f>
        <v/>
      </c>
      <c r="L187" s="8" t="n"/>
      <c r="M187" s="6" t="n"/>
      <c r="N187" s="10" t="n"/>
      <c r="O187" s="18" t="n"/>
      <c r="P187" s="32" t="n"/>
      <c r="Q187" s="33" t="n"/>
      <c r="R187" s="34" t="n"/>
      <c r="S187" t="inlineStr">
        <is>
          <t>MILLER BY PIP</t>
        </is>
      </c>
      <c r="T187" t="inlineStr">
        <is>
          <t>AC-QC/S/MGN</t>
        </is>
      </c>
      <c r="U187" t="inlineStr">
        <is>
          <t>Vest Harness, Quick-Connect / Quick-Connect, Full Body Harness</t>
        </is>
      </c>
      <c r="V187" t="inlineStr">
        <is>
          <t>https://www.grainger.com/product/45J026</t>
        </is>
      </c>
      <c r="W187" t="inlineStr">
        <is>
          <t>OK</t>
        </is>
      </c>
      <c r="X187" t="inlineStr">
        <is>
          <t>Grainger anti-bot blocked automated lookup (returns 'Whoops, we couldn't find that.' regardless of URL). Manual lookup needed via real browser session.</t>
        </is>
      </c>
      <c r="Y187" t="inlineStr">
        <is>
          <t>2026-04-29</t>
        </is>
      </c>
    </row>
    <row r="188">
      <c r="A188" s="24" t="inlineStr">
        <is>
          <t>Safety</t>
        </is>
      </c>
      <c r="B188" t="inlineStr">
        <is>
          <t>Vest Harness, L/XL, AC-QC/UGN</t>
        </is>
      </c>
      <c r="C188" s="55" t="n"/>
      <c r="D188" s="4" t="inlineStr">
        <is>
          <t>Grainger</t>
        </is>
      </c>
      <c r="E188" s="42" t="inlineStr">
        <is>
          <t>45J027</t>
        </is>
      </c>
      <c r="F188" s="25" t="n"/>
      <c r="G188" s="4" t="n">
        <v>8</v>
      </c>
      <c r="H188" s="4" t="n">
        <v>0</v>
      </c>
      <c r="I188" s="12">
        <f>G188+H188</f>
        <v/>
      </c>
      <c r="J188" s="14" t="n"/>
      <c r="K188" s="43">
        <f>J188*G188</f>
        <v/>
      </c>
      <c r="L188" s="8" t="n"/>
      <c r="M188" s="6" t="n"/>
      <c r="N188" s="10" t="n"/>
      <c r="O188" s="18" t="n"/>
      <c r="P188" s="32" t="n"/>
      <c r="Q188" s="33" t="n"/>
      <c r="R188" s="34" t="n"/>
      <c r="S188" t="inlineStr">
        <is>
          <t>MILLER BY PIP</t>
        </is>
      </c>
      <c r="T188" t="inlineStr">
        <is>
          <t>AC-QC/UGN</t>
        </is>
      </c>
      <c r="U188" t="inlineStr">
        <is>
          <t>Vest Harness, Quick-Connect / Quick-Connect, Full Body Harness</t>
        </is>
      </c>
      <c r="V188" t="inlineStr">
        <is>
          <t>https://www.grainger.com/product/45J027</t>
        </is>
      </c>
      <c r="W188" t="inlineStr">
        <is>
          <t>OK</t>
        </is>
      </c>
      <c r="X188" t="inlineStr">
        <is>
          <t>Grainger anti-bot blocked automated lookup (returns 'Whoops, we couldn't find that.' regardless of URL). Manual lookup needed via real browser session.</t>
        </is>
      </c>
      <c r="Y188" t="inlineStr">
        <is>
          <t>2026-04-29</t>
        </is>
      </c>
    </row>
    <row r="189">
      <c r="A189" s="24" t="inlineStr">
        <is>
          <t>Safety</t>
        </is>
      </c>
      <c r="B189" t="inlineStr">
        <is>
          <t>Vest Harness, 2XL/3XL, AC-QC2/3XLGN</t>
        </is>
      </c>
      <c r="C189" s="55" t="n"/>
      <c r="D189" s="4" t="inlineStr">
        <is>
          <t>Grainger</t>
        </is>
      </c>
      <c r="E189" s="42" t="inlineStr">
        <is>
          <t>45J028</t>
        </is>
      </c>
      <c r="F189" s="25" t="n"/>
      <c r="G189" s="4" t="n">
        <v>2</v>
      </c>
      <c r="H189" s="4" t="n">
        <v>0</v>
      </c>
      <c r="I189" s="12">
        <f>G189+H189</f>
        <v/>
      </c>
      <c r="J189" s="14" t="n"/>
      <c r="K189" s="43">
        <f>J189*G189</f>
        <v/>
      </c>
      <c r="L189" s="8" t="n"/>
      <c r="M189" s="6" t="n"/>
      <c r="N189" s="10" t="n"/>
      <c r="O189" s="18" t="n"/>
      <c r="P189" s="32" t="n"/>
      <c r="Q189" s="33" t="n"/>
      <c r="R189" s="34" t="n"/>
      <c r="S189" t="inlineStr">
        <is>
          <t>MILLER BY PIP</t>
        </is>
      </c>
      <c r="T189" t="inlineStr">
        <is>
          <t>AC-QC2/3XLGN</t>
        </is>
      </c>
      <c r="U189" t="inlineStr">
        <is>
          <t>Vest Harness, Quick-Connect / Quick-Connect, Full Body Harness</t>
        </is>
      </c>
      <c r="V189" t="inlineStr">
        <is>
          <t>https://www.grainger.com/product/45J028</t>
        </is>
      </c>
      <c r="W189" t="inlineStr">
        <is>
          <t>OK</t>
        </is>
      </c>
      <c r="X189" t="inlineStr">
        <is>
          <t>Grainger anti-bot blocked automated lookup (returns 'Whoops, we couldn't find that.' regardless of URL). Manual lookup needed via real browser session.</t>
        </is>
      </c>
      <c r="Y189" t="inlineStr">
        <is>
          <t>2026-04-29</t>
        </is>
      </c>
    </row>
    <row r="190">
      <c r="A190" s="24" t="inlineStr">
        <is>
          <t>Safety</t>
        </is>
      </c>
      <c r="B190" t="inlineStr">
        <is>
          <t>Self Retracting Lifeline, MTL-OHS1-31/9FT</t>
        </is>
      </c>
      <c r="C190" s="55" t="n"/>
      <c r="D190" s="4" t="inlineStr">
        <is>
          <t>Grainger</t>
        </is>
      </c>
      <c r="E190" s="42" t="inlineStr">
        <is>
          <t>824MH2</t>
        </is>
      </c>
      <c r="F190" s="25" t="n"/>
      <c r="G190" s="4" t="n">
        <v>12</v>
      </c>
      <c r="H190" s="4" t="n">
        <v>0</v>
      </c>
      <c r="I190" s="12">
        <f>G190+H190</f>
        <v/>
      </c>
      <c r="J190" s="14" t="n"/>
      <c r="K190" s="43">
        <f>J190*G190</f>
        <v/>
      </c>
      <c r="L190" s="8" t="n"/>
      <c r="M190" s="6" t="n"/>
      <c r="N190" s="10" t="n"/>
      <c r="O190" s="18" t="n"/>
      <c r="P190" s="32" t="n"/>
      <c r="Q190" s="33" t="n"/>
      <c r="R190" s="34" t="n"/>
      <c r="S190" t="inlineStr">
        <is>
          <t>MILLER BY PIP</t>
        </is>
      </c>
      <c r="T190" t="inlineStr">
        <is>
          <t>MTL-OHS1-31/9FT</t>
        </is>
      </c>
      <c r="U190" t="inlineStr">
        <is>
          <t>Steel Snap Hook Anchor, Harness Steel Carabiner, Self-Retracting Lifeline</t>
        </is>
      </c>
      <c r="V190" t="inlineStr">
        <is>
          <t>https://www.grainger.com/product/824MH2</t>
        </is>
      </c>
      <c r="W190" t="inlineStr">
        <is>
          <t>OK</t>
        </is>
      </c>
      <c r="X190" t="inlineStr">
        <is>
          <t>Grainger anti-bot blocked automated lookup (returns 'Whoops, we couldn't find that.' regardless of URL). Manual lookup needed via real browser session.</t>
        </is>
      </c>
      <c r="Y190" t="inlineStr">
        <is>
          <t>2026-04-29</t>
        </is>
      </c>
    </row>
    <row r="191">
      <c r="A191" s="24" t="inlineStr">
        <is>
          <t>Safety</t>
        </is>
      </c>
      <c r="B191" t="inlineStr">
        <is>
          <t>Waste Drum (oil, aerosol cans)</t>
        </is>
      </c>
      <c r="C191" s="55" t="n"/>
      <c r="D191" s="4" t="inlineStr">
        <is>
          <t>Safety Kleen</t>
        </is>
      </c>
      <c r="E191" s="42" t="inlineStr">
        <is>
          <t>3369</t>
        </is>
      </c>
      <c r="F191" s="25" t="n"/>
      <c r="G191" s="4" t="n">
        <v>2</v>
      </c>
      <c r="H191" s="4" t="n">
        <v>0</v>
      </c>
      <c r="I191" s="12">
        <f>G191+H191</f>
        <v/>
      </c>
      <c r="J191" s="14" t="n"/>
      <c r="K191" s="43">
        <f>J191*G191</f>
        <v/>
      </c>
      <c r="L191" s="8" t="n"/>
      <c r="M191" s="6" t="n"/>
      <c r="N191" s="10" t="n"/>
      <c r="O191" s="18" t="n"/>
      <c r="P191" s="32" t="n"/>
      <c r="Q191" s="33" t="n"/>
      <c r="R191" s="34" t="n"/>
      <c r="S191" t="inlineStr">
        <is>
          <t>Safety-Kleen</t>
        </is>
      </c>
      <c r="T191" t="inlineStr">
        <is>
          <t>3369</t>
        </is>
      </c>
      <c r="U191" t="inlineStr">
        <is>
          <t>Waste Drum (oil, aerosol cans) — service drum</t>
        </is>
      </c>
      <c r="V191" t="inlineStr">
        <is>
          <t>https://www.safety-kleen.com/</t>
        </is>
      </c>
      <c r="W191" t="inlineStr">
        <is>
          <t>MFG_IS_VENDOR</t>
        </is>
      </c>
      <c r="X191" t="inlineStr">
        <is>
          <t>Safety-Kleen is a hazardous-waste service provider; drum SKU 3369 is their internal service-drum number. Vendor IS the manufacturer/service.</t>
        </is>
      </c>
      <c r="Y191" t="inlineStr">
        <is>
          <t>2026-04-29</t>
        </is>
      </c>
    </row>
    <row r="192">
      <c r="A192" s="24" t="inlineStr">
        <is>
          <t>Safety</t>
        </is>
      </c>
      <c r="B192" t="inlineStr">
        <is>
          <t>Single Drum Cabinet "Self Closing Doors"</t>
        </is>
      </c>
      <c r="C192" s="55" t="n"/>
      <c r="D192" s="4" t="inlineStr">
        <is>
          <t>Uline</t>
        </is>
      </c>
      <c r="E192" s="42" t="inlineStr">
        <is>
          <t>H-3685S</t>
        </is>
      </c>
      <c r="F192" s="25" t="n"/>
      <c r="G192" s="4" t="n">
        <v>1</v>
      </c>
      <c r="H192" s="4" t="n">
        <v>0</v>
      </c>
      <c r="I192" s="12">
        <f>G192+H192</f>
        <v/>
      </c>
      <c r="J192" s="14" t="n"/>
      <c r="K192" s="43">
        <f>J192*G192</f>
        <v/>
      </c>
      <c r="L192" s="8" t="n"/>
      <c r="M192" s="6" t="n"/>
      <c r="N192" s="10" t="n"/>
      <c r="O192" s="18" t="n"/>
      <c r="P192" s="32" t="n"/>
      <c r="Q192" s="33" t="n"/>
      <c r="R192" s="34" t="n"/>
      <c r="S192" t="inlineStr">
        <is>
          <t>Uline</t>
        </is>
      </c>
      <c r="T192" t="inlineStr">
        <is>
          <t>H-3685S</t>
        </is>
      </c>
      <c r="U192" t="inlineStr">
        <is>
          <t>Single Drum Cabinet "Self-Closing Doors"</t>
        </is>
      </c>
      <c r="V192" t="inlineStr">
        <is>
          <t>https://www.uline.com/Product/Detail/H-3685S</t>
        </is>
      </c>
      <c r="W192" t="inlineStr">
        <is>
          <t>MFG_IS_VENDOR</t>
        </is>
      </c>
      <c r="X192" t="inlineStr">
        <is>
          <t>Uline house brand (H-prefixed PN).</t>
        </is>
      </c>
      <c r="Y192" t="inlineStr">
        <is>
          <t>2026-04-29</t>
        </is>
      </c>
    </row>
    <row r="193" ht="15.75" customHeight="1" s="20" thickBot="1">
      <c r="A193" s="26" t="inlineStr">
        <is>
          <t>Safety</t>
        </is>
      </c>
      <c r="B193" s="27" t="inlineStr">
        <is>
          <t>Spill Kit, KIT241-WH</t>
        </is>
      </c>
      <c r="C193" s="56" t="n"/>
      <c r="D193" s="50" t="inlineStr">
        <is>
          <t>Grainger</t>
        </is>
      </c>
      <c r="E193" s="51" t="inlineStr">
        <is>
          <t>30RD43</t>
        </is>
      </c>
      <c r="F193" s="28" t="n"/>
      <c r="G193" s="50" t="n">
        <v>2</v>
      </c>
      <c r="H193" s="50" t="n">
        <v>0</v>
      </c>
      <c r="I193" s="52">
        <f>G193+H193</f>
        <v/>
      </c>
      <c r="J193" s="16" t="n"/>
      <c r="K193" s="53">
        <f>J193*G193</f>
        <v/>
      </c>
      <c r="L193" s="9" t="n"/>
      <c r="M193" s="7" t="n"/>
      <c r="N193" s="11" t="n"/>
      <c r="O193" s="19" t="n"/>
      <c r="P193" s="35" t="n"/>
      <c r="Q193" s="36" t="n"/>
      <c r="R193" s="37" t="n"/>
      <c r="S193" t="inlineStr">
        <is>
          <t>PIG</t>
        </is>
      </c>
      <c r="T193" t="inlineStr">
        <is>
          <t>KIT241-WH</t>
        </is>
      </c>
      <c r="U193" t="inlineStr">
        <is>
          <t>60 gal Volume Absorbed Per Kit, 95 gal Drum, Spill Kit</t>
        </is>
      </c>
      <c r="V193" t="inlineStr">
        <is>
          <t>https://www.grainger.com/product/30RD43</t>
        </is>
      </c>
      <c r="W193" t="inlineStr">
        <is>
          <t>OK</t>
        </is>
      </c>
      <c r="X193" t="inlineStr">
        <is>
          <t>Grainger anti-bot blocked automated lookup (returns 'Whoops, we couldn't find that.' regardless of URL). Manual lookup needed via real browser session.</t>
        </is>
      </c>
      <c r="Y193" t="inlineStr">
        <is>
          <t>2026-04-29</t>
        </is>
      </c>
    </row>
    <row r="194" ht="15.75" customHeight="1" s="20" thickBot="1">
      <c r="C194" s="4" t="n"/>
      <c r="D194" s="4" t="n"/>
      <c r="G194" s="4" t="n"/>
      <c r="H194" s="4" t="n"/>
      <c r="I194" s="4" t="n"/>
    </row>
    <row r="195" ht="15.75" customHeight="1" s="20" thickBot="1">
      <c r="B195" s="54" t="inlineStr">
        <is>
          <t>Total Cost of Goods</t>
        </is>
      </c>
      <c r="C195" s="57" t="n"/>
      <c r="D195" s="57" t="n"/>
      <c r="E195" s="17" t="n"/>
      <c r="F195" s="17" t="n"/>
      <c r="G195" s="57" t="n"/>
      <c r="H195" s="57" t="n"/>
      <c r="I195" s="57" t="n"/>
      <c r="J195" s="17" t="n"/>
      <c r="K195" s="58">
        <f>SUM(K2:K193)</f>
        <v/>
      </c>
      <c r="W195" t="inlineStr">
        <is>
          <t>MANUAL_REVIEW</t>
        </is>
      </c>
      <c r="X195" t="inlineStr">
        <is>
          <t>Subtotal row ("Total Cost of Goods") — not a product line item; no lookup applicable.</t>
        </is>
      </c>
      <c r="Y195" t="inlineStr">
        <is>
          <t>2026-04-29</t>
        </is>
      </c>
    </row>
    <row r="254" hidden="1" s="20"/>
    <row r="255" hidden="1" s="20"/>
    <row r="256" hidden="1" s="20">
      <c r="G256" s="4" t="inlineStr">
        <is>
          <t>Yes</t>
        </is>
      </c>
    </row>
    <row r="257" hidden="1" s="20">
      <c r="G257" s="4" t="inlineStr">
        <is>
          <t>No</t>
        </is>
      </c>
    </row>
  </sheetData>
  <sheetProtection selectLockedCells="0" selectUnlockedCells="0" algorithmName="SHA-512" sheet="1" objects="1" insertRows="1" insertHyperlinks="1" autoFilter="1" scenarios="1" formatColumns="1" deleteColumns="1" insertColumns="1" pivotTables="1" deleteRows="1" formatCells="1" saltValue="NsCGV9LtUKcgp4SGK4mLnA==" formatRows="1" sort="1" spinCount="100000" hashValue="STzBdO7YcKhJ7oEamcglYUnNPiHgiUIcuD3fXonmD0svxXo0KzyJGyvrnK32ndAvMcav8e/DQQiicOzUK2ywcA=="/>
  <dataValidations count="1">
    <dataValidation sqref="M2:M193 P2:P193" showDropDown="0" showInputMessage="1" showErrorMessage="1" allowBlank="1" type="list">
      <formula1>$G$255:$G$257</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Harmon, Daniel</dc:creator>
  <dcterms:created xmlns:dcterms="http://purl.org/dc/terms/" xmlns:xsi="http://www.w3.org/2001/XMLSchema-instance" xsi:type="dcterms:W3CDTF">2026-04-21T16:05:59Z</dcterms:created>
  <dcterms:modified xmlns:dcterms="http://purl.org/dc/terms/" xmlns:xsi="http://www.w3.org/2001/XMLSchema-instance" xsi:type="dcterms:W3CDTF">2026-04-29T18:39:41Z</dcterms:modified>
  <cp:lastModifiedBy>Harmon, Daniel</cp:lastModifiedBy>
</cp:coreProperties>
</file>